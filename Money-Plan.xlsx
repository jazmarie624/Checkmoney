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ummary" sheetId="2" state="visible" r:id="rId4"/>
    <sheet name="Next 8 Days" sheetId="3" state="visible" r:id="rId5"/>
    <sheet name="September" sheetId="4" state="visible" r:id="rId6"/>
    <sheet name="October" sheetId="5" state="visible" r:id="rId7"/>
    <sheet name="November" sheetId="6" state="visible" r:id="rId8"/>
    <sheet name="December" sheetId="7" state="visible" r:id="rId9"/>
  </sheets>
  <definedNames>
    <definedName function="false" hidden="false" localSheetId="0" name="_xlnm.Print_Titles" vbProcedure="false">Assumptions!$1:$3</definedName>
    <definedName function="false" hidden="false" localSheetId="6" name="_xlnm.Print_Titles" vbProcedure="false">December!$1:$3</definedName>
    <definedName function="false" hidden="false" localSheetId="2" name="_xlnm.Print_Titles" vbProcedure="false">'Next 8 Days'!$1:$3</definedName>
    <definedName function="false" hidden="false" localSheetId="5" name="_xlnm.Print_Titles" vbProcedure="false">November!$1:$3</definedName>
    <definedName function="false" hidden="false" localSheetId="4" name="_xlnm.Print_Titles" vbProcedure="false">October!$1:$3</definedName>
    <definedName function="false" hidden="false" localSheetId="3" name="_xlnm.Print_Titles" vbProcedure="false">September!$1:$3</definedName>
    <definedName function="false" hidden="false" localSheetId="1" name="_xlnm.Print_Titles" vbProcedure="false">Summary!$1:$3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<sst xmlns="http://schemas.openxmlformats.org/spreadsheetml/2006/main" count="313" uniqueCount="173">
  <si>
    <t xml:space="preserve">ASSUMPTIONS — change anything BLUE</t>
  </si>
  <si>
    <t xml:space="preserve">Every other sheet reads from here. Blue = you type it. Black = calculated.</t>
  </si>
  <si>
    <t xml:space="preserve">INCOME</t>
  </si>
  <si>
    <t xml:space="preserve">Child Support — Aguayo (weekly, Tuesdays)</t>
  </si>
  <si>
    <t xml:space="preserve">Stated by you</t>
  </si>
  <si>
    <t xml:space="preserve">State paycheck (every other Friday, net)</t>
  </si>
  <si>
    <t xml:space="preserve">Stated by you — net, not gross</t>
  </si>
  <si>
    <t xml:space="preserve">Child Support — Cartagena (Sept, every 2 wks)</t>
  </si>
  <si>
    <t xml:space="preserve">Drops to $250 from October</t>
  </si>
  <si>
    <t xml:space="preserve">Child Support — Cartagena (Oct onward)</t>
  </si>
  <si>
    <t xml:space="preserve">Your update</t>
  </si>
  <si>
    <t xml:space="preserve">MONTHLY BILLS</t>
  </si>
  <si>
    <t xml:space="preserve">Rent</t>
  </si>
  <si>
    <t xml:space="preserve">Westlake Financial (due 17th)</t>
  </si>
  <si>
    <t xml:space="preserve">Aug payment deferred to back of loan</t>
  </si>
  <si>
    <t xml:space="preserve">Daycare</t>
  </si>
  <si>
    <t xml:space="preserve">Your estimate — confirm</t>
  </si>
  <si>
    <t xml:space="preserve">Loan Mart</t>
  </si>
  <si>
    <t xml:space="preserve">Light</t>
  </si>
  <si>
    <t xml:space="preserve">Spectrum</t>
  </si>
  <si>
    <t xml:space="preserve">Car storage</t>
  </si>
  <si>
    <t xml:space="preserve">Credit repair (mid-month draft)</t>
  </si>
  <si>
    <t xml:space="preserve">Living money per week</t>
  </si>
  <si>
    <t xml:space="preserve">Gas, food, medicine. Not optional.</t>
  </si>
  <si>
    <t xml:space="preserve">DEBTS</t>
  </si>
  <si>
    <t xml:space="preserve">Mom's credit card balance</t>
  </si>
  <si>
    <t xml:space="preserve">Your update — was $400</t>
  </si>
  <si>
    <t xml:space="preserve">Mom's card — September minimum</t>
  </si>
  <si>
    <t xml:space="preserve">Payoff is October</t>
  </si>
  <si>
    <t xml:space="preserve">Cash advance owed</t>
  </si>
  <si>
    <t xml:space="preserve">Existing pawn — amount owed</t>
  </si>
  <si>
    <t xml:space="preserve">Borrowed $250. ~25 days left as of Aug 28</t>
  </si>
  <si>
    <t xml:space="preserve">Necklace pawn — cash received</t>
  </si>
  <si>
    <t xml:space="preserve">Necklace return fee %</t>
  </si>
  <si>
    <t xml:space="preserve">40–45 day window; redemption ~Oct 7</t>
  </si>
  <si>
    <t xml:space="preserve">SIDE HUSTLE (Backup Fund)</t>
  </si>
  <si>
    <t xml:space="preserve">Plasma per month</t>
  </si>
  <si>
    <t xml:space="preserve">Low bar on purpose</t>
  </si>
  <si>
    <t xml:space="preserve">DoorDash / Uber per month</t>
  </si>
  <si>
    <t xml:space="preserve">Process server per month (Oct onward)</t>
  </si>
  <si>
    <t xml:space="preserve">License not through for September</t>
  </si>
  <si>
    <t xml:space="preserve">FLEX</t>
  </si>
  <si>
    <t xml:space="preserve">Flex payment 1 (due by the 4th)</t>
  </si>
  <si>
    <t xml:space="preserve">AUGUST + EVICTION</t>
  </si>
  <si>
    <t xml:space="preserve">August rent target (incl. court/late fees)</t>
  </si>
  <si>
    <t xml:space="preserve">Rent $2,100 + expected court costs</t>
  </si>
  <si>
    <t xml:space="preserve">Court costs added after filing (estimate)</t>
  </si>
  <si>
    <t xml:space="preserve">Filing fee + summons + service. CONFIRM with legal aid</t>
  </si>
  <si>
    <t xml:space="preserve">HOW TO USE THIS</t>
  </si>
  <si>
    <t xml:space="preserve">Blue text on yellow</t>
  </si>
  <si>
    <t xml:space="preserve">example</t>
  </si>
  <si>
    <t xml:space="preserve">You type here. Everything else recalculates from it.</t>
  </si>
  <si>
    <t xml:space="preserve">Green text</t>
  </si>
  <si>
    <t xml:space="preserve">Pulled from another sheet.</t>
  </si>
  <si>
    <t xml:space="preserve">Black text</t>
  </si>
  <si>
    <t xml:space="preserve">Calculated on this sheet.</t>
  </si>
  <si>
    <t xml:space="preserve">To print</t>
  </si>
  <si>
    <t xml:space="preserve">File &gt; Print. Already set to landscape, one page wide.</t>
  </si>
  <si>
    <t xml:space="preserve">SUMMARY — the whole picture on one page</t>
  </si>
  <si>
    <t xml:space="preserve">Every number here is pulled live from the month tabs. Change anything on Assumptions and this updates.</t>
  </si>
  <si>
    <t xml:space="preserve">September</t>
  </si>
  <si>
    <t xml:space="preserve">October</t>
  </si>
  <si>
    <t xml:space="preserve">November</t>
  </si>
  <si>
    <t xml:space="preserve">December</t>
  </si>
  <si>
    <t xml:space="preserve">Opening balance</t>
  </si>
  <si>
    <t xml:space="preserve">Money in</t>
  </si>
  <si>
    <t xml:space="preserve">Money out</t>
  </si>
  <si>
    <t xml:space="preserve">CLOSING BALANCE</t>
  </si>
  <si>
    <t xml:space="preserve">Added this month</t>
  </si>
  <si>
    <t xml:space="preserve">Covers next rent alone?</t>
  </si>
  <si>
    <t xml:space="preserve">If zero side hustle</t>
  </si>
  <si>
    <t xml:space="preserve">THE FINISH LINE</t>
  </si>
  <si>
    <t xml:space="preserve">You are truly ahead the first month this balance can pay rent by itself before a single paycheck arrives.</t>
  </si>
  <si>
    <t xml:space="preserve">THE NEXT 8 DAYS — August rent + September rent</t>
  </si>
  <si>
    <t xml:space="preserve">You have been served. The court filing deadline (~Sept 5) matters MORE than the money.</t>
  </si>
  <si>
    <t xml:space="preserve">WHAT YOU NEED</t>
  </si>
  <si>
    <t xml:space="preserve">August rent (incl. expected court costs)</t>
  </si>
  <si>
    <t xml:space="preserve">September rent — FULL amount</t>
  </si>
  <si>
    <t xml:space="preserve">Flex will NOT work while August is past due — September is the full amount, not $1,500</t>
  </si>
  <si>
    <t xml:space="preserve">TOTAL NEEDED</t>
  </si>
  <si>
    <t xml:space="preserve">EVERY DOLLAR, IN THE ORDER IT ARRIVES</t>
  </si>
  <si>
    <t xml:space="preserve">When</t>
  </si>
  <si>
    <t xml:space="preserve">What</t>
  </si>
  <si>
    <t xml:space="preserve">Amount</t>
  </si>
  <si>
    <t xml:space="preserve">Running total</t>
  </si>
  <si>
    <t xml:space="preserve">Notes</t>
  </si>
  <si>
    <t xml:space="preserve">Fri Aug 28</t>
  </si>
  <si>
    <t xml:space="preserve">Child support card — on hand</t>
  </si>
  <si>
    <t xml:space="preserve">Already on the card</t>
  </si>
  <si>
    <t xml:space="preserve">Plasma card balance</t>
  </si>
  <si>
    <t xml:space="preserve">Already banked</t>
  </si>
  <si>
    <t xml:space="preserve">Mon Aug 31</t>
  </si>
  <si>
    <t xml:space="preserve">Child Support — Cartagena</t>
  </si>
  <si>
    <t xml:space="preserve">The $500 that slipped to Monday</t>
  </si>
  <si>
    <t xml:space="preserve">Before Aug 31</t>
  </si>
  <si>
    <t xml:space="preserve">Cash advance apps</t>
  </si>
  <si>
    <t xml:space="preserve">Borrowed — repay in September</t>
  </si>
  <si>
    <t xml:space="preserve">Plasma promo — remaining donations</t>
  </si>
  <si>
    <t xml:space="preserve">YOU HAVE TO EARN THIS</t>
  </si>
  <si>
    <t xml:space="preserve">Necklace pawn</t>
  </si>
  <si>
    <t xml:space="preserve">Borrowed — redeem by ~Oct 7</t>
  </si>
  <si>
    <t xml:space="preserve">Tue Sep 1</t>
  </si>
  <si>
    <t xml:space="preserve">Child Support — Aguayo</t>
  </si>
  <si>
    <t xml:space="preserve">Weekly</t>
  </si>
  <si>
    <t xml:space="preserve">Fri Sep 4</t>
  </si>
  <si>
    <t xml:space="preserve">State Paycheck 1</t>
  </si>
  <si>
    <t xml:space="preserve">Flex deadline day</t>
  </si>
  <si>
    <t xml:space="preserve">TOTAL LANDING BY SEPT 4</t>
  </si>
  <si>
    <t xml:space="preserve">GAP — still to find</t>
  </si>
  <si>
    <t xml:space="preserve">BEFORE YOU SPEND A DOLLAR</t>
  </si>
  <si>
    <t xml:space="preserve">Step 1</t>
  </si>
  <si>
    <t xml:space="preserve">Call Community Legal Services of Mid-Florida (Osceola) Monday morning</t>
  </si>
  <si>
    <t xml:space="preserve">Step 2</t>
  </si>
  <si>
    <t xml:space="preserve">Check the court docket for your address</t>
  </si>
  <si>
    <t xml:space="preserve">Confirm it is actually filed, not just threatened</t>
  </si>
  <si>
    <t xml:space="preserve">Step 3</t>
  </si>
  <si>
    <t xml:space="preserve">File your written response with the court by ~Sept 5</t>
  </si>
  <si>
    <t xml:space="preserve">MISS THIS AND YOU LOSE BY DEFAULT even holding every dollar</t>
  </si>
  <si>
    <t xml:space="preserve">Step 4</t>
  </si>
  <si>
    <t xml:space="preserve">Ask the pawn shop about an interest-only extension</t>
  </si>
  <si>
    <t xml:space="preserve">Before you sign, not after</t>
  </si>
  <si>
    <t xml:space="preserve">Step 5</t>
  </si>
  <si>
    <t xml:space="preserve">Tell the landlord the exact date the money lands</t>
  </si>
  <si>
    <t xml:space="preserve">A specific date beats silence</t>
  </si>
  <si>
    <t xml:space="preserve">NOTE: once filed, the landlord can refuse payment. To contest you generally deposit rent INTO THE COURT REGISTRY, not with the landlord.</t>
  </si>
  <si>
    <t xml:space="preserve">SEPTEMBER — MONEY IN vs MONEY OUT</t>
  </si>
  <si>
    <t xml:space="preserve">MONEY IN</t>
  </si>
  <si>
    <t xml:space="preserve">Child Support — Aguayo  ×5 Tuesdays</t>
  </si>
  <si>
    <t xml:space="preserve">Guaranteed</t>
  </si>
  <si>
    <t xml:space="preserve">State paycheck  ×2</t>
  </si>
  <si>
    <t xml:space="preserve">Child Support — Cartagena  ×2</t>
  </si>
  <si>
    <t xml:space="preserve">Plasma</t>
  </si>
  <si>
    <t xml:space="preserve">MUST BE EARNED</t>
  </si>
  <si>
    <t xml:space="preserve">DoorDash / Uber</t>
  </si>
  <si>
    <t xml:space="preserve">Process server</t>
  </si>
  <si>
    <t xml:space="preserve">License not through yet — $0 for September</t>
  </si>
  <si>
    <t xml:space="preserve">GUARANTEED SUBTOTAL</t>
  </si>
  <si>
    <t xml:space="preserve">BACKUP FUND SUBTOTAL (earned)</t>
  </si>
  <si>
    <t xml:space="preserve">MONEY OUT</t>
  </si>
  <si>
    <t xml:space="preserve">Paid through Flex: $1,500 by the 4th, the rest by the 15th</t>
  </si>
  <si>
    <t xml:space="preserve">Westlake  (due the 17th)</t>
  </si>
  <si>
    <t xml:space="preserve">Your paycheck lands the 18th — ONE DAY LATE every month</t>
  </si>
  <si>
    <t xml:space="preserve">Safest bill to be late on</t>
  </si>
  <si>
    <t xml:space="preserve">Credit repair</t>
  </si>
  <si>
    <t xml:space="preserve">Living money  ×5 weeks</t>
  </si>
  <si>
    <t xml:space="preserve">Gas, food, medicine</t>
  </si>
  <si>
    <t xml:space="preserve">Existing pawn — CLEAR IT</t>
  </si>
  <si>
    <t xml:space="preserve">Hard deadline ~Sep 19. No grace period on a pawn</t>
  </si>
  <si>
    <t xml:space="preserve">Cash advance repayment</t>
  </si>
  <si>
    <t xml:space="preserve">Mom's credit card — minimum</t>
  </si>
  <si>
    <t xml:space="preserve">TOTAL OUT</t>
  </si>
  <si>
    <t xml:space="preserve">RENT SAVINGS ACCOUNT</t>
  </si>
  <si>
    <t xml:space="preserve">Last month's leftover. This is NOT spare money — it is next month's rent arriving early.</t>
  </si>
  <si>
    <t xml:space="preserve">+ Money in (guaranteed + backup)</t>
  </si>
  <si>
    <t xml:space="preserve">− Money out (rent included)</t>
  </si>
  <si>
    <t xml:space="preserve">Carries into next month as the opening balance</t>
  </si>
  <si>
    <t xml:space="preserve">Could this pay next month's rent alone?</t>
  </si>
  <si>
    <t xml:space="preserve">IF NO SIDE HUSTLE AT ALL</t>
  </si>
  <si>
    <t xml:space="preserve">Closing balance with $0 earned</t>
  </si>
  <si>
    <t xml:space="preserve">The gap between this and the number above is exactly what the side work buys you.</t>
  </si>
  <si>
    <t xml:space="preserve">OCTOBER — MONEY IN vs MONEY OUT</t>
  </si>
  <si>
    <t xml:space="preserve">Child Support — Aguayo  ×4 Tuesdays</t>
  </si>
  <si>
    <t xml:space="preserve">State paycheck  ×3</t>
  </si>
  <si>
    <t xml:space="preserve">Guaranteed — THREE paychecks this month</t>
  </si>
  <si>
    <t xml:space="preserve">Living money  ×4 weeks</t>
  </si>
  <si>
    <t xml:space="preserve">Mom's credit card — PAY IT OFF</t>
  </si>
  <si>
    <t xml:space="preserve">Card is cleared this month</t>
  </si>
  <si>
    <t xml:space="preserve">Necklace redemption (if pawned)</t>
  </si>
  <si>
    <t xml:space="preserve">Due ~Oct 7. Set to 0 if you did not pawn</t>
  </si>
  <si>
    <t xml:space="preserve">NOVEMBER — MONEY IN vs MONEY OUT</t>
  </si>
  <si>
    <t xml:space="preserve">DECEMBER — MONEY IN vs MONEY OUT</t>
  </si>
  <si>
    <t xml:space="preserve">Holiday spending</t>
  </si>
  <si>
    <t xml:space="preserve">Set it in advance so it cannot eat January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</si>
</sst>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A31B3C"/>
      <name val="Arial"/>
      <family val="0"/>
      <charset val="1"/>
    </font>
    <font>
      <b val="true"/>
      <sz val="10"/>
      <color rgb="FFA31B3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A3560"/>
        <bgColor rgb="FF333399"/>
      </patternFill>
    </fill>
    <fill>
      <patternFill patternType="solid">
        <fgColor rgb="FFEFECE6"/>
        <bgColor rgb="FFFBE8EC"/>
      </patternFill>
    </fill>
    <fill>
      <patternFill patternType="solid">
        <fgColor rgb="FFF7F4FA"/>
        <bgColor rgb="FFFFFFFF"/>
      </patternFill>
    </fill>
    <fill>
      <patternFill patternType="solid">
        <fgColor rgb="FFFFF2CC"/>
        <bgColor rgb="FFEFECE6"/>
      </patternFill>
    </fill>
    <fill>
      <patternFill patternType="solid">
        <fgColor rgb="FFE4F2E9"/>
        <bgColor rgb="FFEFECE6"/>
      </patternFill>
    </fill>
    <fill>
      <patternFill patternType="solid">
        <fgColor rgb="FFFBE8EC"/>
        <bgColor rgb="FFEFEC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A31B3C"/>
        <sz val="11"/>
      </font>
      <fill>
        <patternFill>
          <bgColor rgb="FFFBE8EC"/>
        </patternFill>
      </fill>
    </dxf>
    <dxf>
      <font>
        <name val="Arial"/>
        <charset val="1"/>
        <family val="0"/>
        <b val="1"/>
        <color rgb="FF1A6B43"/>
        <sz val="11"/>
      </font>
      <fill>
        <patternFill>
          <bgColor rgb="FFE4F2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43"/>
      <rgbColor rgb="FFBBBBBB"/>
      <rgbColor rgb="FF808080"/>
      <rgbColor rgb="FF9999FF"/>
      <rgbColor rgb="FFA31B3C"/>
      <rgbColor rgb="FFFFF2CC"/>
      <rgbColor rgb="FFE4F2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4FA"/>
      <rgbColor rgb="FFEFECE6"/>
      <rgbColor rgb="FFFBE8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35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5"/>
    <col collapsed="false" customWidth="true" hidden="false" outlineLevel="0" max="3" min="3" style="1" width="58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9.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320</v>
      </c>
      <c r="C5" s="7" t="s">
        <v>4</v>
      </c>
    </row>
    <row r="6" customFormat="false" ht="15" hidden="false" customHeight="true" outlineLevel="0" collapsed="false">
      <c r="A6" s="8" t="s">
        <v>5</v>
      </c>
      <c r="B6" s="6" t="n">
        <v>1100</v>
      </c>
      <c r="C6" s="9" t="s">
        <v>6</v>
      </c>
    </row>
    <row r="7" customFormat="false" ht="15" hidden="false" customHeight="true" outlineLevel="0" collapsed="false">
      <c r="A7" s="5" t="s">
        <v>7</v>
      </c>
      <c r="B7" s="6" t="n">
        <v>500</v>
      </c>
      <c r="C7" s="7" t="s">
        <v>8</v>
      </c>
    </row>
    <row r="8" customFormat="false" ht="15" hidden="false" customHeight="true" outlineLevel="0" collapsed="false">
      <c r="A8" s="8" t="s">
        <v>9</v>
      </c>
      <c r="B8" s="6" t="n">
        <v>250</v>
      </c>
      <c r="C8" s="9" t="s">
        <v>10</v>
      </c>
    </row>
    <row r="9" customFormat="false" ht="15" hidden="false" customHeight="true" outlineLevel="0" collapsed="false">
      <c r="A9" s="4" t="s">
        <v>11</v>
      </c>
      <c r="B9" s="4"/>
      <c r="C9" s="4"/>
    </row>
    <row r="10" customFormat="false" ht="15" hidden="false" customHeight="true" outlineLevel="0" collapsed="false">
      <c r="A10" s="8" t="s">
        <v>12</v>
      </c>
      <c r="B10" s="6" t="n">
        <v>2100</v>
      </c>
      <c r="C10" s="9" t="s">
        <v>4</v>
      </c>
    </row>
    <row r="11" customFormat="false" ht="15" hidden="false" customHeight="true" outlineLevel="0" collapsed="false">
      <c r="A11" s="5" t="s">
        <v>13</v>
      </c>
      <c r="B11" s="6" t="n">
        <v>580</v>
      </c>
      <c r="C11" s="7" t="s">
        <v>14</v>
      </c>
    </row>
    <row r="12" customFormat="false" ht="15" hidden="false" customHeight="true" outlineLevel="0" collapsed="false">
      <c r="A12" s="8" t="s">
        <v>15</v>
      </c>
      <c r="B12" s="6" t="n">
        <v>300</v>
      </c>
      <c r="C12" s="9" t="s">
        <v>16</v>
      </c>
    </row>
    <row r="13" customFormat="false" ht="15" hidden="false" customHeight="true" outlineLevel="0" collapsed="false">
      <c r="A13" s="5" t="s">
        <v>17</v>
      </c>
      <c r="B13" s="6" t="n">
        <v>240</v>
      </c>
      <c r="C13" s="10"/>
    </row>
    <row r="14" customFormat="false" ht="15" hidden="false" customHeight="true" outlineLevel="0" collapsed="false">
      <c r="A14" s="8" t="s">
        <v>18</v>
      </c>
      <c r="B14" s="6" t="n">
        <v>200</v>
      </c>
      <c r="C14" s="11"/>
    </row>
    <row r="15" customFormat="false" ht="15" hidden="false" customHeight="true" outlineLevel="0" collapsed="false">
      <c r="A15" s="5" t="s">
        <v>19</v>
      </c>
      <c r="B15" s="6" t="n">
        <v>100</v>
      </c>
      <c r="C15" s="10"/>
    </row>
    <row r="16" customFormat="false" ht="15" hidden="false" customHeight="true" outlineLevel="0" collapsed="false">
      <c r="A16" s="8" t="s">
        <v>20</v>
      </c>
      <c r="B16" s="6" t="n">
        <v>80</v>
      </c>
      <c r="C16" s="11"/>
    </row>
    <row r="17" customFormat="false" ht="15" hidden="false" customHeight="true" outlineLevel="0" collapsed="false">
      <c r="A17" s="5" t="s">
        <v>21</v>
      </c>
      <c r="B17" s="6" t="n">
        <v>70</v>
      </c>
      <c r="C17" s="10"/>
    </row>
    <row r="18" customFormat="false" ht="15" hidden="false" customHeight="true" outlineLevel="0" collapsed="false">
      <c r="A18" s="8" t="s">
        <v>22</v>
      </c>
      <c r="B18" s="6" t="n">
        <v>100</v>
      </c>
      <c r="C18" s="9" t="s">
        <v>23</v>
      </c>
    </row>
    <row r="19" customFormat="false" ht="15" hidden="false" customHeight="true" outlineLevel="0" collapsed="false">
      <c r="A19" s="4" t="s">
        <v>24</v>
      </c>
      <c r="B19" s="4"/>
      <c r="C19" s="4"/>
    </row>
    <row r="20" customFormat="false" ht="15" hidden="false" customHeight="true" outlineLevel="0" collapsed="false">
      <c r="A20" s="8" t="s">
        <v>25</v>
      </c>
      <c r="B20" s="6" t="n">
        <v>650</v>
      </c>
      <c r="C20" s="9" t="s">
        <v>26</v>
      </c>
    </row>
    <row r="21" customFormat="false" ht="15" hidden="false" customHeight="true" outlineLevel="0" collapsed="false">
      <c r="A21" s="5" t="s">
        <v>27</v>
      </c>
      <c r="B21" s="6" t="n">
        <v>50</v>
      </c>
      <c r="C21" s="7" t="s">
        <v>28</v>
      </c>
    </row>
    <row r="22" customFormat="false" ht="15" hidden="false" customHeight="true" outlineLevel="0" collapsed="false">
      <c r="A22" s="8" t="s">
        <v>29</v>
      </c>
      <c r="B22" s="6" t="n">
        <v>220</v>
      </c>
      <c r="C22" s="11"/>
    </row>
    <row r="23" customFormat="false" ht="15" hidden="false" customHeight="true" outlineLevel="0" collapsed="false">
      <c r="A23" s="5" t="s">
        <v>30</v>
      </c>
      <c r="B23" s="6" t="n">
        <v>320</v>
      </c>
      <c r="C23" s="7" t="s">
        <v>31</v>
      </c>
    </row>
    <row r="24" customFormat="false" ht="15" hidden="false" customHeight="true" outlineLevel="0" collapsed="false">
      <c r="A24" s="8" t="s">
        <v>32</v>
      </c>
      <c r="B24" s="6" t="n">
        <v>800</v>
      </c>
      <c r="C24" s="11"/>
    </row>
    <row r="25" customFormat="false" ht="15" hidden="false" customHeight="true" outlineLevel="0" collapsed="false">
      <c r="A25" s="5" t="s">
        <v>33</v>
      </c>
      <c r="B25" s="12" t="n">
        <v>0.25</v>
      </c>
      <c r="C25" s="7" t="s">
        <v>34</v>
      </c>
    </row>
    <row r="26" customFormat="false" ht="15" hidden="false" customHeight="true" outlineLevel="0" collapsed="false">
      <c r="A26" s="4" t="s">
        <v>35</v>
      </c>
      <c r="B26" s="4"/>
      <c r="C26" s="4"/>
    </row>
    <row r="27" customFormat="false" ht="15" hidden="false" customHeight="true" outlineLevel="0" collapsed="false">
      <c r="A27" s="5" t="s">
        <v>36</v>
      </c>
      <c r="B27" s="6" t="n">
        <v>200</v>
      </c>
      <c r="C27" s="7" t="s">
        <v>37</v>
      </c>
    </row>
    <row r="28" customFormat="false" ht="15" hidden="false" customHeight="true" outlineLevel="0" collapsed="false">
      <c r="A28" s="8" t="s">
        <v>38</v>
      </c>
      <c r="B28" s="6" t="n">
        <v>200</v>
      </c>
      <c r="C28" s="11"/>
    </row>
    <row r="29" customFormat="false" ht="15" hidden="false" customHeight="true" outlineLevel="0" collapsed="false">
      <c r="A29" s="5" t="s">
        <v>39</v>
      </c>
      <c r="B29" s="6" t="n">
        <v>200</v>
      </c>
      <c r="C29" s="7" t="s">
        <v>40</v>
      </c>
    </row>
    <row r="30" customFormat="false" ht="15" hidden="false" customHeight="true" outlineLevel="0" collapsed="false">
      <c r="A30" s="4" t="s">
        <v>41</v>
      </c>
      <c r="B30" s="4"/>
      <c r="C30" s="4"/>
    </row>
    <row r="31" customFormat="false" ht="15" hidden="false" customHeight="true" outlineLevel="0" collapsed="false">
      <c r="A31" s="5" t="s">
        <v>42</v>
      </c>
      <c r="B31" s="6" t="n">
        <v>1500</v>
      </c>
      <c r="C31" s="7" t="s">
        <v>4</v>
      </c>
    </row>
    <row r="32" customFormat="false" ht="15" hidden="false" customHeight="true" outlineLevel="0" collapsed="false">
      <c r="A32" s="4" t="s">
        <v>43</v>
      </c>
      <c r="B32" s="4"/>
      <c r="C32" s="4"/>
    </row>
    <row r="33" customFormat="false" ht="15" hidden="false" customHeight="true" outlineLevel="0" collapsed="false">
      <c r="A33" s="5" t="s">
        <v>44</v>
      </c>
      <c r="B33" s="6" t="n">
        <v>2200</v>
      </c>
      <c r="C33" s="7" t="s">
        <v>45</v>
      </c>
    </row>
    <row r="34" customFormat="false" ht="15" hidden="false" customHeight="true" outlineLevel="0" collapsed="false">
      <c r="A34" s="8" t="s">
        <v>46</v>
      </c>
      <c r="B34" s="6" t="n">
        <v>350</v>
      </c>
      <c r="C34" s="9" t="s">
        <v>47</v>
      </c>
    </row>
    <row r="36" customFormat="false" ht="15" hidden="false" customHeight="true" outlineLevel="0" collapsed="false">
      <c r="A36" s="13" t="s">
        <v>48</v>
      </c>
      <c r="B36" s="13"/>
      <c r="C36" s="13"/>
    </row>
    <row r="37" customFormat="false" ht="15" hidden="false" customHeight="true" outlineLevel="0" collapsed="false">
      <c r="A37" s="14" t="s">
        <v>49</v>
      </c>
      <c r="B37" s="15" t="s">
        <v>50</v>
      </c>
      <c r="C37" s="16" t="s">
        <v>51</v>
      </c>
    </row>
    <row r="38" customFormat="false" ht="15" hidden="false" customHeight="true" outlineLevel="0" collapsed="false">
      <c r="A38" s="17" t="s">
        <v>52</v>
      </c>
      <c r="C38" s="16" t="s">
        <v>53</v>
      </c>
    </row>
    <row r="39" customFormat="false" ht="15" hidden="false" customHeight="true" outlineLevel="0" collapsed="false">
      <c r="A39" s="17" t="s">
        <v>54</v>
      </c>
      <c r="C39" s="16" t="s">
        <v>55</v>
      </c>
    </row>
    <row r="40" customFormat="false" ht="15" hidden="false" customHeight="true" outlineLevel="0" collapsed="false">
      <c r="A40" s="17" t="s">
        <v>56</v>
      </c>
      <c r="C40" s="16" t="s">
        <v>57</v>
      </c>
    </row>
  </sheetData>
  <mergeCells count="9">
    <mergeCell ref="A1:C1"/>
    <mergeCell ref="A2:C2"/>
    <mergeCell ref="A4:C4"/>
    <mergeCell ref="A9:C9"/>
    <mergeCell ref="A19:C19"/>
    <mergeCell ref="A26:C26"/>
    <mergeCell ref="A30:C30"/>
    <mergeCell ref="A32:C32"/>
    <mergeCell ref="A36:C36"/>
  </mergeCells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&amp;C&amp;"Arial,Bold"J Empire — Money Plan</oddHeader>
    <oddFooter>&amp;LJazmin Aguayo&amp;RPage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6"/>
    <col collapsed="false" customWidth="true" hidden="false" outlineLevel="0" max="7" min="7" style="1" width="46"/>
  </cols>
  <sheetData>
    <row r="1" customFormat="false" ht="30" hidden="false" customHeight="true" outlineLevel="0" collapsed="false">
      <c r="A1" s="2" t="s">
        <v>58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59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8"/>
      <c r="B4" s="18" t="s">
        <v>60</v>
      </c>
      <c r="C4" s="18" t="s">
        <v>61</v>
      </c>
      <c r="D4" s="18" t="s">
        <v>62</v>
      </c>
      <c r="E4" s="18" t="s">
        <v>63</v>
      </c>
      <c r="F4" s="18"/>
      <c r="G4" s="18"/>
    </row>
    <row r="5" customFormat="false" ht="15" hidden="false" customHeight="true" outlineLevel="0" collapsed="false">
      <c r="A5" s="8" t="s">
        <v>64</v>
      </c>
      <c r="B5" s="19" t="n">
        <f aca="false">September!B29</f>
        <v>0</v>
      </c>
      <c r="C5" s="19" t="n">
        <f aca="false">October!B28</f>
        <v>440</v>
      </c>
      <c r="D5" s="19" t="n">
        <f aca="false">November!B26</f>
        <v>450</v>
      </c>
      <c r="E5" s="19" t="n">
        <f aca="false">December!B27</f>
        <v>960</v>
      </c>
    </row>
    <row r="6" customFormat="false" ht="15" hidden="false" customHeight="true" outlineLevel="0" collapsed="false">
      <c r="A6" s="8" t="s">
        <v>65</v>
      </c>
      <c r="B6" s="19" t="n">
        <f aca="false">September!B30</f>
        <v>5200</v>
      </c>
      <c r="C6" s="19" t="n">
        <f aca="false">October!B29</f>
        <v>5680</v>
      </c>
      <c r="D6" s="19" t="n">
        <f aca="false">November!B27</f>
        <v>4580</v>
      </c>
      <c r="E6" s="19" t="n">
        <f aca="false">December!B28</f>
        <v>4900</v>
      </c>
    </row>
    <row r="7" customFormat="false" ht="15" hidden="false" customHeight="true" outlineLevel="0" collapsed="false">
      <c r="A7" s="8" t="s">
        <v>66</v>
      </c>
      <c r="B7" s="19" t="n">
        <f aca="false">September!B31</f>
        <v>4760</v>
      </c>
      <c r="C7" s="19" t="n">
        <f aca="false">October!B30</f>
        <v>5670</v>
      </c>
      <c r="D7" s="19" t="n">
        <f aca="false">November!B28</f>
        <v>4070</v>
      </c>
      <c r="E7" s="19" t="n">
        <f aca="false">December!B29</f>
        <v>4470</v>
      </c>
    </row>
    <row r="8" customFormat="false" ht="15" hidden="false" customHeight="true" outlineLevel="0" collapsed="false">
      <c r="A8" s="14" t="s">
        <v>67</v>
      </c>
      <c r="B8" s="20" t="n">
        <f aca="false">September!B32</f>
        <v>440</v>
      </c>
      <c r="C8" s="20" t="n">
        <f aca="false">October!B31</f>
        <v>450</v>
      </c>
      <c r="D8" s="20" t="n">
        <f aca="false">November!B29</f>
        <v>960</v>
      </c>
      <c r="E8" s="20" t="n">
        <f aca="false">December!B30</f>
        <v>1390</v>
      </c>
    </row>
    <row r="9" customFormat="false" ht="15" hidden="false" customHeight="true" outlineLevel="0" collapsed="false">
      <c r="A9" s="8" t="s">
        <v>68</v>
      </c>
      <c r="B9" s="19" t="n">
        <f aca="false">September!B33</f>
        <v>440</v>
      </c>
      <c r="C9" s="19" t="n">
        <f aca="false">October!B32</f>
        <v>10</v>
      </c>
      <c r="D9" s="19" t="n">
        <f aca="false">November!B30</f>
        <v>510</v>
      </c>
      <c r="E9" s="19" t="n">
        <f aca="false">December!B31</f>
        <v>430</v>
      </c>
    </row>
    <row r="10" customFormat="false" ht="15" hidden="false" customHeight="true" outlineLevel="0" collapsed="false">
      <c r="A10" s="8" t="s">
        <v>69</v>
      </c>
      <c r="B10" s="21" t="str">
        <f aca="false">September!B34</f>
        <v>NO — short $1,660</v>
      </c>
      <c r="C10" s="21" t="str">
        <f aca="false">October!B33</f>
        <v>NO — short $1,650</v>
      </c>
      <c r="D10" s="21" t="str">
        <f aca="false">November!B31</f>
        <v>NO — short $1,140</v>
      </c>
      <c r="E10" s="21" t="str">
        <f aca="false">December!B32</f>
        <v>NO — short $710</v>
      </c>
    </row>
    <row r="11" customFormat="false" ht="15" hidden="false" customHeight="true" outlineLevel="0" collapsed="false">
      <c r="A11" s="8" t="s">
        <v>70</v>
      </c>
      <c r="B11" s="19" t="n">
        <f aca="false">September!B37</f>
        <v>40</v>
      </c>
      <c r="C11" s="19" t="n">
        <f aca="false">October!B36</f>
        <v>-150</v>
      </c>
      <c r="D11" s="19" t="n">
        <f aca="false">November!B34</f>
        <v>360</v>
      </c>
      <c r="E11" s="19" t="n">
        <f aca="false">December!B35</f>
        <v>790</v>
      </c>
    </row>
    <row r="12" customFormat="false" ht="15" hidden="false" customHeight="true" outlineLevel="0" collapsed="false">
      <c r="A12" s="11"/>
    </row>
    <row r="13" customFormat="false" ht="15" hidden="false" customHeight="true" outlineLevel="0" collapsed="false">
      <c r="A13" s="22" t="s">
        <v>71</v>
      </c>
    </row>
    <row r="14" customFormat="false" ht="31.5" hidden="false" customHeight="true" outlineLevel="0" collapsed="false">
      <c r="A14" s="23" t="s">
        <v>72</v>
      </c>
      <c r="B14" s="23"/>
      <c r="C14" s="23"/>
      <c r="D14" s="23"/>
      <c r="E14" s="23"/>
      <c r="F14" s="23"/>
      <c r="G14" s="23"/>
    </row>
  </sheetData>
  <mergeCells count="3">
    <mergeCell ref="A1:G1"/>
    <mergeCell ref="A2:G2"/>
    <mergeCell ref="A14:G14"/>
  </mergeCells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&amp;C&amp;"Arial,Bold"J Empire — Money Plan</oddHeader>
    <oddFooter>&amp;LJazmin Aguayo&amp;RPage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21"/>
    <col collapsed="false" customWidth="true" hidden="false" outlineLevel="0" max="5" min="5" style="1" width="46"/>
  </cols>
  <sheetData>
    <row r="1" customFormat="false" ht="30" hidden="false" customHeight="true" outlineLevel="0" collapsed="false">
      <c r="A1" s="2" t="s">
        <v>73</v>
      </c>
      <c r="B1" s="2"/>
      <c r="C1" s="2"/>
      <c r="D1" s="2"/>
      <c r="E1" s="2"/>
    </row>
    <row r="2" customFormat="false" ht="19.5" hidden="false" customHeight="true" outlineLevel="0" collapsed="false">
      <c r="A2" s="24" t="s">
        <v>74</v>
      </c>
      <c r="B2" s="24"/>
      <c r="C2" s="24"/>
      <c r="D2" s="24"/>
      <c r="E2" s="24"/>
    </row>
    <row r="3" customFormat="false" ht="15" hidden="false" customHeight="true" outlineLevel="0" collapsed="false">
      <c r="B3" s="11"/>
      <c r="E3" s="11"/>
    </row>
    <row r="4" customFormat="false" ht="15" hidden="false" customHeight="true" outlineLevel="0" collapsed="false">
      <c r="A4" s="13" t="s">
        <v>75</v>
      </c>
      <c r="B4" s="13"/>
      <c r="C4" s="13"/>
      <c r="D4" s="13"/>
      <c r="E4" s="13"/>
    </row>
    <row r="5" customFormat="false" ht="15" hidden="false" customHeight="true" outlineLevel="0" collapsed="false">
      <c r="A5" s="11" t="s">
        <v>76</v>
      </c>
      <c r="B5" s="11"/>
      <c r="C5" s="19" t="n">
        <f aca="false">Assumptions!$B$33</f>
        <v>2200</v>
      </c>
      <c r="E5" s="9"/>
    </row>
    <row r="6" customFormat="false" ht="31.5" hidden="false" customHeight="true" outlineLevel="0" collapsed="false">
      <c r="A6" s="11" t="s">
        <v>77</v>
      </c>
      <c r="B6" s="11"/>
      <c r="C6" s="19" t="n">
        <f aca="false">Assumptions!$B$10</f>
        <v>2100</v>
      </c>
      <c r="E6" s="9" t="s">
        <v>78</v>
      </c>
    </row>
    <row r="7" customFormat="false" ht="15" hidden="false" customHeight="true" outlineLevel="0" collapsed="false">
      <c r="A7" s="17" t="s">
        <v>79</v>
      </c>
      <c r="B7" s="11"/>
      <c r="C7" s="20" t="n">
        <f aca="false">C5+C6</f>
        <v>4300</v>
      </c>
      <c r="E7" s="11"/>
    </row>
    <row r="8" customFormat="false" ht="15" hidden="false" customHeight="true" outlineLevel="0" collapsed="false">
      <c r="B8" s="11"/>
      <c r="E8" s="11"/>
    </row>
    <row r="9" customFormat="false" ht="15" hidden="false" customHeight="true" outlineLevel="0" collapsed="false">
      <c r="A9" s="4" t="s">
        <v>80</v>
      </c>
      <c r="B9" s="4"/>
      <c r="C9" s="4"/>
      <c r="D9" s="4"/>
      <c r="E9" s="4"/>
    </row>
    <row r="10" customFormat="false" ht="15" hidden="false" customHeight="true" outlineLevel="0" collapsed="false">
      <c r="A10" s="18" t="s">
        <v>81</v>
      </c>
      <c r="B10" s="25" t="s">
        <v>82</v>
      </c>
      <c r="C10" s="18" t="s">
        <v>83</v>
      </c>
      <c r="D10" s="18" t="s">
        <v>84</v>
      </c>
      <c r="E10" s="25" t="s">
        <v>85</v>
      </c>
    </row>
    <row r="11" customFormat="false" ht="15" hidden="false" customHeight="true" outlineLevel="0" collapsed="false">
      <c r="A11" s="26" t="s">
        <v>86</v>
      </c>
      <c r="B11" s="8" t="s">
        <v>87</v>
      </c>
      <c r="C11" s="27" t="n">
        <f aca="false">Assumptions!$B$5*0+200</f>
        <v>200</v>
      </c>
      <c r="D11" s="28" t="n">
        <f aca="false">C11</f>
        <v>200</v>
      </c>
      <c r="E11" s="9" t="s">
        <v>88</v>
      </c>
    </row>
    <row r="12" customFormat="false" ht="15" hidden="false" customHeight="true" outlineLevel="0" collapsed="false">
      <c r="A12" s="29" t="s">
        <v>86</v>
      </c>
      <c r="B12" s="5" t="s">
        <v>89</v>
      </c>
      <c r="C12" s="30" t="n">
        <f aca="false">150</f>
        <v>150</v>
      </c>
      <c r="D12" s="31" t="n">
        <f aca="false">D11+C12</f>
        <v>350</v>
      </c>
      <c r="E12" s="7" t="s">
        <v>90</v>
      </c>
    </row>
    <row r="13" customFormat="false" ht="15" hidden="false" customHeight="true" outlineLevel="0" collapsed="false">
      <c r="A13" s="26" t="s">
        <v>91</v>
      </c>
      <c r="B13" s="8" t="s">
        <v>92</v>
      </c>
      <c r="C13" s="32" t="n">
        <f aca="false">Assumptions!$B$7</f>
        <v>500</v>
      </c>
      <c r="D13" s="28" t="n">
        <f aca="false">D12+C13</f>
        <v>850</v>
      </c>
      <c r="E13" s="9" t="s">
        <v>93</v>
      </c>
    </row>
    <row r="14" customFormat="false" ht="15" hidden="false" customHeight="true" outlineLevel="0" collapsed="false">
      <c r="A14" s="29" t="s">
        <v>94</v>
      </c>
      <c r="B14" s="5" t="s">
        <v>95</v>
      </c>
      <c r="C14" s="30" t="n">
        <f aca="false">Assumptions!$B$22</f>
        <v>220</v>
      </c>
      <c r="D14" s="31" t="n">
        <f aca="false">D13+C14</f>
        <v>1070</v>
      </c>
      <c r="E14" s="7" t="s">
        <v>96</v>
      </c>
    </row>
    <row r="15" customFormat="false" ht="15" hidden="false" customHeight="true" outlineLevel="0" collapsed="false">
      <c r="A15" s="26" t="s">
        <v>94</v>
      </c>
      <c r="B15" s="8" t="s">
        <v>97</v>
      </c>
      <c r="C15" s="32" t="n">
        <f aca="false">250</f>
        <v>250</v>
      </c>
      <c r="D15" s="28" t="n">
        <f aca="false">D14+C15</f>
        <v>1320</v>
      </c>
      <c r="E15" s="9" t="s">
        <v>98</v>
      </c>
    </row>
    <row r="16" customFormat="false" ht="15" hidden="false" customHeight="true" outlineLevel="0" collapsed="false">
      <c r="A16" s="29" t="s">
        <v>94</v>
      </c>
      <c r="B16" s="5" t="s">
        <v>99</v>
      </c>
      <c r="C16" s="30" t="n">
        <f aca="false">Assumptions!$B$24</f>
        <v>800</v>
      </c>
      <c r="D16" s="31" t="n">
        <f aca="false">D15+C16</f>
        <v>2120</v>
      </c>
      <c r="E16" s="7" t="s">
        <v>100</v>
      </c>
    </row>
    <row r="17" customFormat="false" ht="15" hidden="false" customHeight="true" outlineLevel="0" collapsed="false">
      <c r="A17" s="26" t="s">
        <v>101</v>
      </c>
      <c r="B17" s="8" t="s">
        <v>102</v>
      </c>
      <c r="C17" s="32" t="n">
        <f aca="false">Assumptions!$B$5</f>
        <v>320</v>
      </c>
      <c r="D17" s="28" t="n">
        <f aca="false">D16+C17</f>
        <v>2440</v>
      </c>
      <c r="E17" s="9" t="s">
        <v>103</v>
      </c>
    </row>
    <row r="18" customFormat="false" ht="15" hidden="false" customHeight="true" outlineLevel="0" collapsed="false">
      <c r="A18" s="29" t="s">
        <v>104</v>
      </c>
      <c r="B18" s="5" t="s">
        <v>105</v>
      </c>
      <c r="C18" s="30" t="n">
        <f aca="false">Assumptions!$B$6</f>
        <v>1100</v>
      </c>
      <c r="D18" s="31" t="n">
        <f aca="false">D17+C18</f>
        <v>3540</v>
      </c>
      <c r="E18" s="7" t="s">
        <v>106</v>
      </c>
    </row>
    <row r="19" customFormat="false" ht="15" hidden="false" customHeight="true" outlineLevel="0" collapsed="false">
      <c r="B19" s="14" t="s">
        <v>107</v>
      </c>
      <c r="C19" s="33" t="n">
        <f aca="false">SUM(C11:C18)</f>
        <v>3540</v>
      </c>
      <c r="E19" s="11"/>
    </row>
    <row r="20" customFormat="false" ht="15" hidden="false" customHeight="true" outlineLevel="0" collapsed="false">
      <c r="B20" s="14" t="s">
        <v>108</v>
      </c>
      <c r="C20" s="34" t="n">
        <f aca="false">MAX(0,C7-C19)</f>
        <v>760</v>
      </c>
      <c r="D20" s="14" t="str">
        <f aca="false">IF(C20=0,"COVERED","= $"&amp;TEXT(C20/8,"#,##0")&amp;" per day for 8 days")</f>
        <v>= $95 per day for 8 days</v>
      </c>
      <c r="E20" s="11"/>
    </row>
    <row r="21" customFormat="false" ht="15" hidden="false" customHeight="true" outlineLevel="0" collapsed="false">
      <c r="B21" s="11"/>
      <c r="E21" s="11"/>
    </row>
    <row r="22" customFormat="false" ht="15" hidden="false" customHeight="true" outlineLevel="0" collapsed="false">
      <c r="A22" s="4" t="s">
        <v>109</v>
      </c>
      <c r="B22" s="4"/>
      <c r="C22" s="4"/>
      <c r="D22" s="4"/>
      <c r="E22" s="4"/>
    </row>
    <row r="23" customFormat="false" ht="33.75" hidden="false" customHeight="true" outlineLevel="0" collapsed="false">
      <c r="A23" s="17" t="s">
        <v>110</v>
      </c>
      <c r="B23" s="23" t="s">
        <v>111</v>
      </c>
      <c r="C23" s="23"/>
      <c r="D23" s="23"/>
      <c r="E23" s="23"/>
    </row>
    <row r="24" customFormat="false" ht="15" hidden="false" customHeight="true" outlineLevel="0" collapsed="false">
      <c r="A24" s="17" t="s">
        <v>112</v>
      </c>
      <c r="B24" s="8" t="s">
        <v>113</v>
      </c>
      <c r="E24" s="9" t="s">
        <v>114</v>
      </c>
    </row>
    <row r="25" customFormat="false" ht="15" hidden="false" customHeight="true" outlineLevel="0" collapsed="false">
      <c r="A25" s="17" t="s">
        <v>115</v>
      </c>
      <c r="B25" s="8" t="s">
        <v>116</v>
      </c>
      <c r="E25" s="9" t="s">
        <v>117</v>
      </c>
    </row>
    <row r="26" customFormat="false" ht="15" hidden="false" customHeight="true" outlineLevel="0" collapsed="false">
      <c r="A26" s="17" t="s">
        <v>118</v>
      </c>
      <c r="B26" s="8" t="s">
        <v>119</v>
      </c>
      <c r="E26" s="9" t="s">
        <v>120</v>
      </c>
    </row>
    <row r="27" customFormat="false" ht="15" hidden="false" customHeight="true" outlineLevel="0" collapsed="false">
      <c r="A27" s="17" t="s">
        <v>121</v>
      </c>
      <c r="B27" s="8" t="s">
        <v>122</v>
      </c>
      <c r="E27" s="9" t="s">
        <v>123</v>
      </c>
    </row>
    <row r="28" customFormat="false" ht="15" hidden="false" customHeight="true" outlineLevel="0" collapsed="false">
      <c r="B28" s="11"/>
      <c r="E28" s="11"/>
    </row>
    <row r="29" customFormat="false" ht="33.75" hidden="false" customHeight="true" outlineLevel="0" collapsed="false">
      <c r="B29" s="35" t="s">
        <v>124</v>
      </c>
      <c r="C29" s="35"/>
      <c r="D29" s="35"/>
      <c r="E29" s="35"/>
    </row>
  </sheetData>
  <mergeCells count="7">
    <mergeCell ref="A1:E1"/>
    <mergeCell ref="A2:E2"/>
    <mergeCell ref="A4:E4"/>
    <mergeCell ref="A9:E9"/>
    <mergeCell ref="A22:E22"/>
    <mergeCell ref="B23:E23"/>
    <mergeCell ref="B29:E29"/>
  </mergeCells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&amp;C&amp;"Arial,Bold"J Empire — Money Plan</oddHeader>
    <oddFooter>&amp;LJazmin Aguayo&amp;RPage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22"/>
    <col collapsed="false" customWidth="true" hidden="false" outlineLevel="0" max="4" min="4" style="1" width="56"/>
  </cols>
  <sheetData>
    <row r="1" customFormat="false" ht="30" hidden="false" customHeight="true" outlineLevel="0" collapsed="false">
      <c r="A1" s="2" t="s">
        <v>125</v>
      </c>
      <c r="B1" s="2"/>
      <c r="C1" s="2"/>
      <c r="D1" s="2"/>
    </row>
    <row r="2" customFormat="false" ht="15" hidden="false" customHeight="true" outlineLevel="0" collapsed="false">
      <c r="A2" s="11"/>
      <c r="D2" s="11"/>
    </row>
    <row r="3" customFormat="false" ht="15" hidden="false" customHeight="true" outlineLevel="0" collapsed="false">
      <c r="A3" s="36" t="s">
        <v>126</v>
      </c>
      <c r="B3" s="36"/>
      <c r="C3" s="36"/>
      <c r="D3" s="36"/>
    </row>
    <row r="4" customFormat="false" ht="15" hidden="false" customHeight="true" outlineLevel="0" collapsed="false">
      <c r="A4" s="8" t="s">
        <v>127</v>
      </c>
      <c r="B4" s="27" t="n">
        <f aca="false">Assumptions!$B$5*5</f>
        <v>1600</v>
      </c>
      <c r="D4" s="9" t="s">
        <v>128</v>
      </c>
    </row>
    <row r="5" customFormat="false" ht="15" hidden="false" customHeight="true" outlineLevel="0" collapsed="false">
      <c r="A5" s="5" t="s">
        <v>129</v>
      </c>
      <c r="B5" s="37" t="n">
        <f aca="false">Assumptions!$B$6*2</f>
        <v>2200</v>
      </c>
      <c r="C5" s="38"/>
      <c r="D5" s="7" t="s">
        <v>128</v>
      </c>
    </row>
    <row r="6" customFormat="false" ht="15" hidden="false" customHeight="true" outlineLevel="0" collapsed="false">
      <c r="A6" s="8" t="s">
        <v>130</v>
      </c>
      <c r="B6" s="27" t="n">
        <f aca="false">Assumptions!$B$7*2</f>
        <v>1000</v>
      </c>
      <c r="D6" s="9" t="s">
        <v>128</v>
      </c>
    </row>
    <row r="7" customFormat="false" ht="15" hidden="false" customHeight="true" outlineLevel="0" collapsed="false">
      <c r="A7" s="5" t="s">
        <v>131</v>
      </c>
      <c r="B7" s="30" t="n">
        <f aca="false">Assumptions!$B$27</f>
        <v>200</v>
      </c>
      <c r="C7" s="38"/>
      <c r="D7" s="7" t="s">
        <v>132</v>
      </c>
    </row>
    <row r="8" customFormat="false" ht="15" hidden="false" customHeight="true" outlineLevel="0" collapsed="false">
      <c r="A8" s="8" t="s">
        <v>133</v>
      </c>
      <c r="B8" s="32" t="n">
        <f aca="false">Assumptions!$B$28</f>
        <v>200</v>
      </c>
      <c r="D8" s="9" t="s">
        <v>132</v>
      </c>
    </row>
    <row r="9" customFormat="false" ht="15" hidden="false" customHeight="true" outlineLevel="0" collapsed="false">
      <c r="A9" s="5" t="s">
        <v>134</v>
      </c>
      <c r="B9" s="37" t="n">
        <f aca="false">Assumptions!$B$29*0</f>
        <v>0</v>
      </c>
      <c r="C9" s="38"/>
      <c r="D9" s="7" t="s">
        <v>135</v>
      </c>
    </row>
    <row r="10" customFormat="false" ht="15" hidden="false" customHeight="true" outlineLevel="0" collapsed="false">
      <c r="A10" s="14" t="s">
        <v>136</v>
      </c>
      <c r="B10" s="39" t="n">
        <f aca="false">SUM(B4:B6)</f>
        <v>4800</v>
      </c>
      <c r="D10" s="11"/>
    </row>
    <row r="11" customFormat="false" ht="15" hidden="false" customHeight="true" outlineLevel="0" collapsed="false">
      <c r="A11" s="14" t="s">
        <v>137</v>
      </c>
      <c r="B11" s="20" t="n">
        <f aca="false">SUM(B7:B9)</f>
        <v>400</v>
      </c>
      <c r="D11" s="11"/>
    </row>
    <row r="12" customFormat="false" ht="15" hidden="false" customHeight="true" outlineLevel="0" collapsed="false">
      <c r="A12" s="11"/>
      <c r="D12" s="11"/>
    </row>
    <row r="13" customFormat="false" ht="15" hidden="false" customHeight="true" outlineLevel="0" collapsed="false">
      <c r="A13" s="40" t="s">
        <v>138</v>
      </c>
      <c r="B13" s="40"/>
      <c r="C13" s="40"/>
      <c r="D13" s="40"/>
    </row>
    <row r="14" customFormat="false" ht="31.5" hidden="false" customHeight="true" outlineLevel="0" collapsed="false">
      <c r="A14" s="8" t="s">
        <v>12</v>
      </c>
      <c r="B14" s="32" t="n">
        <f aca="false">Assumptions!$B$10</f>
        <v>2100</v>
      </c>
      <c r="D14" s="9" t="s">
        <v>139</v>
      </c>
    </row>
    <row r="15" customFormat="false" ht="31.5" hidden="false" customHeight="true" outlineLevel="0" collapsed="false">
      <c r="A15" s="8" t="s">
        <v>140</v>
      </c>
      <c r="B15" s="32" t="n">
        <f aca="false">Assumptions!$B$11</f>
        <v>580</v>
      </c>
      <c r="D15" s="9" t="s">
        <v>141</v>
      </c>
    </row>
    <row r="16" customFormat="false" ht="15" hidden="false" customHeight="true" outlineLevel="0" collapsed="false">
      <c r="A16" s="8" t="s">
        <v>15</v>
      </c>
      <c r="B16" s="32" t="n">
        <f aca="false">Assumptions!$B$12</f>
        <v>300</v>
      </c>
      <c r="D16" s="11"/>
    </row>
    <row r="17" customFormat="false" ht="15" hidden="false" customHeight="true" outlineLevel="0" collapsed="false">
      <c r="A17" s="8" t="s">
        <v>17</v>
      </c>
      <c r="B17" s="32" t="n">
        <f aca="false">Assumptions!$B$13</f>
        <v>240</v>
      </c>
      <c r="D17" s="11"/>
    </row>
    <row r="18" customFormat="false" ht="15" hidden="false" customHeight="true" outlineLevel="0" collapsed="false">
      <c r="A18" s="8" t="s">
        <v>18</v>
      </c>
      <c r="B18" s="32" t="n">
        <f aca="false">Assumptions!$B$14</f>
        <v>200</v>
      </c>
      <c r="D18" s="11"/>
    </row>
    <row r="19" customFormat="false" ht="15" hidden="false" customHeight="true" outlineLevel="0" collapsed="false">
      <c r="A19" s="8" t="s">
        <v>19</v>
      </c>
      <c r="B19" s="32" t="n">
        <f aca="false">Assumptions!$B$15</f>
        <v>100</v>
      </c>
      <c r="D19" s="9" t="s">
        <v>142</v>
      </c>
    </row>
    <row r="20" customFormat="false" ht="15" hidden="false" customHeight="true" outlineLevel="0" collapsed="false">
      <c r="A20" s="8" t="s">
        <v>20</v>
      </c>
      <c r="B20" s="32" t="n">
        <f aca="false">Assumptions!$B$16</f>
        <v>80</v>
      </c>
      <c r="D20" s="11"/>
    </row>
    <row r="21" customFormat="false" ht="15" hidden="false" customHeight="true" outlineLevel="0" collapsed="false">
      <c r="A21" s="8" t="s">
        <v>143</v>
      </c>
      <c r="B21" s="32" t="n">
        <f aca="false">Assumptions!$B$17</f>
        <v>70</v>
      </c>
      <c r="D21" s="11"/>
    </row>
    <row r="22" customFormat="false" ht="15" hidden="false" customHeight="true" outlineLevel="0" collapsed="false">
      <c r="A22" s="8" t="s">
        <v>144</v>
      </c>
      <c r="B22" s="27" t="n">
        <f aca="false">Assumptions!$B$18*5</f>
        <v>500</v>
      </c>
      <c r="D22" s="9" t="s">
        <v>145</v>
      </c>
    </row>
    <row r="23" customFormat="false" ht="31.5" hidden="false" customHeight="true" outlineLevel="0" collapsed="false">
      <c r="A23" s="8" t="s">
        <v>146</v>
      </c>
      <c r="B23" s="32" t="n">
        <f aca="false">Assumptions!$B$23</f>
        <v>320</v>
      </c>
      <c r="D23" s="9" t="s">
        <v>147</v>
      </c>
    </row>
    <row r="24" customFormat="false" ht="15" hidden="false" customHeight="true" outlineLevel="0" collapsed="false">
      <c r="A24" s="8" t="s">
        <v>148</v>
      </c>
      <c r="B24" s="32" t="n">
        <f aca="false">Assumptions!$B$22</f>
        <v>220</v>
      </c>
      <c r="D24" s="11"/>
    </row>
    <row r="25" customFormat="false" ht="15" hidden="false" customHeight="true" outlineLevel="0" collapsed="false">
      <c r="A25" s="8" t="s">
        <v>149</v>
      </c>
      <c r="B25" s="32" t="n">
        <f aca="false">Assumptions!$B$21</f>
        <v>50</v>
      </c>
      <c r="D25" s="9" t="s">
        <v>28</v>
      </c>
    </row>
    <row r="26" customFormat="false" ht="15" hidden="false" customHeight="true" outlineLevel="0" collapsed="false">
      <c r="A26" s="14" t="s">
        <v>150</v>
      </c>
      <c r="B26" s="34" t="n">
        <f aca="false">SUM(B14:B25)</f>
        <v>4760</v>
      </c>
      <c r="D26" s="11"/>
    </row>
    <row r="27" customFormat="false" ht="15" hidden="false" customHeight="true" outlineLevel="0" collapsed="false">
      <c r="A27" s="11"/>
      <c r="D27" s="11"/>
    </row>
    <row r="28" customFormat="false" ht="15" hidden="false" customHeight="true" outlineLevel="0" collapsed="false">
      <c r="A28" s="4" t="s">
        <v>151</v>
      </c>
      <c r="B28" s="4"/>
      <c r="C28" s="4"/>
      <c r="D28" s="4"/>
    </row>
    <row r="29" customFormat="false" ht="31.5" hidden="false" customHeight="true" outlineLevel="0" collapsed="false">
      <c r="A29" s="8" t="s">
        <v>64</v>
      </c>
      <c r="B29" s="28" t="n">
        <v>0</v>
      </c>
      <c r="D29" s="9" t="s">
        <v>152</v>
      </c>
    </row>
    <row r="30" customFormat="false" ht="15" hidden="false" customHeight="true" outlineLevel="0" collapsed="false">
      <c r="A30" s="8" t="s">
        <v>153</v>
      </c>
      <c r="B30" s="28" t="n">
        <f aca="false">B10+B11</f>
        <v>5200</v>
      </c>
      <c r="D30" s="11"/>
    </row>
    <row r="31" customFormat="false" ht="15" hidden="false" customHeight="true" outlineLevel="0" collapsed="false">
      <c r="A31" s="8" t="s">
        <v>154</v>
      </c>
      <c r="B31" s="28" t="n">
        <f aca="false">B26</f>
        <v>4760</v>
      </c>
      <c r="D31" s="11"/>
    </row>
    <row r="32" customFormat="false" ht="31.5" hidden="false" customHeight="true" outlineLevel="0" collapsed="false">
      <c r="A32" s="14" t="s">
        <v>67</v>
      </c>
      <c r="B32" s="20" t="n">
        <f aca="false">B29+B30-B31</f>
        <v>440</v>
      </c>
      <c r="D32" s="9" t="s">
        <v>155</v>
      </c>
    </row>
    <row r="33" customFormat="false" ht="15" hidden="false" customHeight="true" outlineLevel="0" collapsed="false">
      <c r="A33" s="8" t="s">
        <v>68</v>
      </c>
      <c r="B33" s="28" t="n">
        <f aca="false">B32-B29</f>
        <v>440</v>
      </c>
      <c r="D33" s="11"/>
    </row>
    <row r="34" customFormat="false" ht="31.5" hidden="false" customHeight="true" outlineLevel="0" collapsed="false">
      <c r="A34" s="8" t="s">
        <v>156</v>
      </c>
      <c r="B34" s="14" t="str">
        <f aca="false">IF(B32&gt;=Assumptions!$B$10,"YES","NO — short $"&amp;TEXT(Assumptions!$B$10-B32,"#,##0"))</f>
        <v>NO — short $1,660</v>
      </c>
      <c r="D34" s="11"/>
    </row>
    <row r="35" customFormat="false" ht="15" hidden="false" customHeight="true" outlineLevel="0" collapsed="false">
      <c r="A35" s="11"/>
      <c r="D35" s="11"/>
    </row>
    <row r="36" customFormat="false" ht="15" hidden="false" customHeight="true" outlineLevel="0" collapsed="false">
      <c r="A36" s="4" t="s">
        <v>157</v>
      </c>
      <c r="B36" s="4"/>
      <c r="C36" s="4"/>
      <c r="D36" s="4"/>
    </row>
    <row r="37" customFormat="false" ht="31.5" hidden="false" customHeight="true" outlineLevel="0" collapsed="false">
      <c r="A37" s="8" t="s">
        <v>158</v>
      </c>
      <c r="B37" s="28" t="n">
        <f aca="false">B29+B10-B26</f>
        <v>40</v>
      </c>
      <c r="D37" s="9" t="s">
        <v>159</v>
      </c>
    </row>
  </sheetData>
  <mergeCells count="5">
    <mergeCell ref="A1:D1"/>
    <mergeCell ref="A3:D3"/>
    <mergeCell ref="A13:D13"/>
    <mergeCell ref="A28:D28"/>
    <mergeCell ref="A36:D36"/>
  </mergeCells>
  <conditionalFormatting sqref="B32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&amp;C&amp;"Arial,Bold"J Empire — Money Plan</oddHeader>
    <oddFooter>&amp;LJazmin Aguayo&amp;RPage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22"/>
    <col collapsed="false" customWidth="true" hidden="false" outlineLevel="0" max="4" min="4" style="1" width="56"/>
  </cols>
  <sheetData>
    <row r="1" customFormat="false" ht="30" hidden="false" customHeight="true" outlineLevel="0" collapsed="false">
      <c r="A1" s="2" t="s">
        <v>160</v>
      </c>
      <c r="B1" s="2"/>
      <c r="C1" s="2"/>
      <c r="D1" s="2"/>
    </row>
    <row r="2" customFormat="false" ht="15" hidden="false" customHeight="true" outlineLevel="0" collapsed="false">
      <c r="A2" s="11"/>
      <c r="D2" s="11"/>
    </row>
    <row r="3" customFormat="false" ht="15" hidden="false" customHeight="true" outlineLevel="0" collapsed="false">
      <c r="A3" s="36" t="s">
        <v>126</v>
      </c>
      <c r="B3" s="36"/>
      <c r="C3" s="36"/>
      <c r="D3" s="36"/>
    </row>
    <row r="4" customFormat="false" ht="15" hidden="false" customHeight="true" outlineLevel="0" collapsed="false">
      <c r="A4" s="8" t="s">
        <v>161</v>
      </c>
      <c r="B4" s="27" t="n">
        <f aca="false">Assumptions!$B$5*4</f>
        <v>1280</v>
      </c>
      <c r="D4" s="9" t="s">
        <v>128</v>
      </c>
    </row>
    <row r="5" customFormat="false" ht="15" hidden="false" customHeight="true" outlineLevel="0" collapsed="false">
      <c r="A5" s="5" t="s">
        <v>162</v>
      </c>
      <c r="B5" s="37" t="n">
        <f aca="false">Assumptions!$B$6*3</f>
        <v>3300</v>
      </c>
      <c r="C5" s="38"/>
      <c r="D5" s="7" t="s">
        <v>163</v>
      </c>
    </row>
    <row r="6" customFormat="false" ht="15" hidden="false" customHeight="true" outlineLevel="0" collapsed="false">
      <c r="A6" s="8" t="s">
        <v>130</v>
      </c>
      <c r="B6" s="27" t="n">
        <f aca="false">Assumptions!$B$8*2</f>
        <v>500</v>
      </c>
      <c r="D6" s="9" t="s">
        <v>128</v>
      </c>
    </row>
    <row r="7" customFormat="false" ht="15" hidden="false" customHeight="true" outlineLevel="0" collapsed="false">
      <c r="A7" s="5" t="s">
        <v>131</v>
      </c>
      <c r="B7" s="30" t="n">
        <f aca="false">Assumptions!$B$27</f>
        <v>200</v>
      </c>
      <c r="C7" s="38"/>
      <c r="D7" s="7" t="s">
        <v>132</v>
      </c>
    </row>
    <row r="8" customFormat="false" ht="15" hidden="false" customHeight="true" outlineLevel="0" collapsed="false">
      <c r="A8" s="8" t="s">
        <v>133</v>
      </c>
      <c r="B8" s="32" t="n">
        <f aca="false">Assumptions!$B$28</f>
        <v>200</v>
      </c>
      <c r="D8" s="9" t="s">
        <v>132</v>
      </c>
    </row>
    <row r="9" customFormat="false" ht="15" hidden="false" customHeight="true" outlineLevel="0" collapsed="false">
      <c r="A9" s="5" t="s">
        <v>134</v>
      </c>
      <c r="B9" s="37" t="n">
        <f aca="false">Assumptions!$B$29*1</f>
        <v>200</v>
      </c>
      <c r="C9" s="38"/>
      <c r="D9" s="7" t="s">
        <v>132</v>
      </c>
    </row>
    <row r="10" customFormat="false" ht="15" hidden="false" customHeight="true" outlineLevel="0" collapsed="false">
      <c r="A10" s="14" t="s">
        <v>136</v>
      </c>
      <c r="B10" s="39" t="n">
        <f aca="false">SUM(B4:B6)</f>
        <v>5080</v>
      </c>
      <c r="D10" s="11"/>
    </row>
    <row r="11" customFormat="false" ht="15" hidden="false" customHeight="true" outlineLevel="0" collapsed="false">
      <c r="A11" s="14" t="s">
        <v>137</v>
      </c>
      <c r="B11" s="20" t="n">
        <f aca="false">SUM(B7:B9)</f>
        <v>600</v>
      </c>
      <c r="D11" s="11"/>
    </row>
    <row r="12" customFormat="false" ht="15" hidden="false" customHeight="true" outlineLevel="0" collapsed="false">
      <c r="A12" s="11"/>
      <c r="D12" s="11"/>
    </row>
    <row r="13" customFormat="false" ht="15" hidden="false" customHeight="true" outlineLevel="0" collapsed="false">
      <c r="A13" s="40" t="s">
        <v>138</v>
      </c>
      <c r="B13" s="40"/>
      <c r="C13" s="40"/>
      <c r="D13" s="40"/>
    </row>
    <row r="14" customFormat="false" ht="31.5" hidden="false" customHeight="true" outlineLevel="0" collapsed="false">
      <c r="A14" s="8" t="s">
        <v>12</v>
      </c>
      <c r="B14" s="32" t="n">
        <f aca="false">Assumptions!$B$10</f>
        <v>2100</v>
      </c>
      <c r="D14" s="9" t="s">
        <v>139</v>
      </c>
    </row>
    <row r="15" customFormat="false" ht="31.5" hidden="false" customHeight="true" outlineLevel="0" collapsed="false">
      <c r="A15" s="8" t="s">
        <v>140</v>
      </c>
      <c r="B15" s="32" t="n">
        <f aca="false">Assumptions!$B$11</f>
        <v>580</v>
      </c>
      <c r="D15" s="9" t="s">
        <v>141</v>
      </c>
    </row>
    <row r="16" customFormat="false" ht="15" hidden="false" customHeight="true" outlineLevel="0" collapsed="false">
      <c r="A16" s="8" t="s">
        <v>15</v>
      </c>
      <c r="B16" s="32" t="n">
        <f aca="false">Assumptions!$B$12</f>
        <v>300</v>
      </c>
      <c r="D16" s="11"/>
    </row>
    <row r="17" customFormat="false" ht="15" hidden="false" customHeight="true" outlineLevel="0" collapsed="false">
      <c r="A17" s="8" t="s">
        <v>17</v>
      </c>
      <c r="B17" s="32" t="n">
        <f aca="false">Assumptions!$B$13</f>
        <v>240</v>
      </c>
      <c r="D17" s="11"/>
    </row>
    <row r="18" customFormat="false" ht="15" hidden="false" customHeight="true" outlineLevel="0" collapsed="false">
      <c r="A18" s="8" t="s">
        <v>18</v>
      </c>
      <c r="B18" s="32" t="n">
        <f aca="false">Assumptions!$B$14</f>
        <v>200</v>
      </c>
      <c r="D18" s="11"/>
    </row>
    <row r="19" customFormat="false" ht="15" hidden="false" customHeight="true" outlineLevel="0" collapsed="false">
      <c r="A19" s="8" t="s">
        <v>19</v>
      </c>
      <c r="B19" s="32" t="n">
        <f aca="false">Assumptions!$B$15</f>
        <v>100</v>
      </c>
      <c r="D19" s="9" t="s">
        <v>142</v>
      </c>
    </row>
    <row r="20" customFormat="false" ht="15" hidden="false" customHeight="true" outlineLevel="0" collapsed="false">
      <c r="A20" s="8" t="s">
        <v>20</v>
      </c>
      <c r="B20" s="32" t="n">
        <f aca="false">Assumptions!$B$16</f>
        <v>80</v>
      </c>
      <c r="D20" s="11"/>
    </row>
    <row r="21" customFormat="false" ht="15" hidden="false" customHeight="true" outlineLevel="0" collapsed="false">
      <c r="A21" s="8" t="s">
        <v>143</v>
      </c>
      <c r="B21" s="32" t="n">
        <f aca="false">Assumptions!$B$17</f>
        <v>70</v>
      </c>
      <c r="D21" s="11"/>
    </row>
    <row r="22" customFormat="false" ht="15" hidden="false" customHeight="true" outlineLevel="0" collapsed="false">
      <c r="A22" s="8" t="s">
        <v>164</v>
      </c>
      <c r="B22" s="27" t="n">
        <f aca="false">Assumptions!$B$18*4</f>
        <v>400</v>
      </c>
      <c r="D22" s="9" t="s">
        <v>145</v>
      </c>
    </row>
    <row r="23" customFormat="false" ht="15" hidden="false" customHeight="true" outlineLevel="0" collapsed="false">
      <c r="A23" s="8" t="s">
        <v>165</v>
      </c>
      <c r="B23" s="27" t="n">
        <f aca="false">Assumptions!$B$20-Assumptions!$B$21</f>
        <v>600</v>
      </c>
      <c r="D23" s="9" t="s">
        <v>166</v>
      </c>
    </row>
    <row r="24" customFormat="false" ht="15" hidden="false" customHeight="true" outlineLevel="0" collapsed="false">
      <c r="A24" s="8" t="s">
        <v>167</v>
      </c>
      <c r="B24" s="27" t="n">
        <f aca="false">Assumptions!$B$24*(1+Assumptions!$B$25)</f>
        <v>1000</v>
      </c>
      <c r="D24" s="9" t="s">
        <v>168</v>
      </c>
    </row>
    <row r="25" customFormat="false" ht="15" hidden="false" customHeight="true" outlineLevel="0" collapsed="false">
      <c r="A25" s="14" t="s">
        <v>150</v>
      </c>
      <c r="B25" s="34" t="n">
        <f aca="false">SUM(B14:B24)</f>
        <v>5670</v>
      </c>
      <c r="D25" s="11"/>
    </row>
    <row r="26" customFormat="false" ht="15" hidden="false" customHeight="true" outlineLevel="0" collapsed="false">
      <c r="A26" s="11"/>
      <c r="D26" s="11"/>
    </row>
    <row r="27" customFormat="false" ht="15" hidden="false" customHeight="true" outlineLevel="0" collapsed="false">
      <c r="A27" s="4" t="s">
        <v>151</v>
      </c>
      <c r="B27" s="4"/>
      <c r="C27" s="4"/>
      <c r="D27" s="4"/>
    </row>
    <row r="28" customFormat="false" ht="31.5" hidden="false" customHeight="true" outlineLevel="0" collapsed="false">
      <c r="A28" s="8" t="s">
        <v>64</v>
      </c>
      <c r="B28" s="19" t="n">
        <f aca="false">September!B32</f>
        <v>440</v>
      </c>
      <c r="D28" s="9" t="s">
        <v>152</v>
      </c>
    </row>
    <row r="29" customFormat="false" ht="15" hidden="false" customHeight="true" outlineLevel="0" collapsed="false">
      <c r="A29" s="8" t="s">
        <v>153</v>
      </c>
      <c r="B29" s="28" t="n">
        <f aca="false">B10+B11</f>
        <v>5680</v>
      </c>
      <c r="D29" s="11"/>
    </row>
    <row r="30" customFormat="false" ht="15" hidden="false" customHeight="true" outlineLevel="0" collapsed="false">
      <c r="A30" s="8" t="s">
        <v>154</v>
      </c>
      <c r="B30" s="28" t="n">
        <f aca="false">B25</f>
        <v>5670</v>
      </c>
      <c r="D30" s="11"/>
    </row>
    <row r="31" customFormat="false" ht="31.5" hidden="false" customHeight="true" outlineLevel="0" collapsed="false">
      <c r="A31" s="14" t="s">
        <v>67</v>
      </c>
      <c r="B31" s="20" t="n">
        <f aca="false">B28+B29-B30</f>
        <v>450</v>
      </c>
      <c r="D31" s="9" t="s">
        <v>155</v>
      </c>
    </row>
    <row r="32" customFormat="false" ht="15" hidden="false" customHeight="true" outlineLevel="0" collapsed="false">
      <c r="A32" s="8" t="s">
        <v>68</v>
      </c>
      <c r="B32" s="28" t="n">
        <f aca="false">B31-B28</f>
        <v>10</v>
      </c>
      <c r="D32" s="11"/>
    </row>
    <row r="33" customFormat="false" ht="31.5" hidden="false" customHeight="true" outlineLevel="0" collapsed="false">
      <c r="A33" s="8" t="s">
        <v>156</v>
      </c>
      <c r="B33" s="14" t="str">
        <f aca="false">IF(B31&gt;=Assumptions!$B$10,"YES","NO — short $"&amp;TEXT(Assumptions!$B$10-B31,"#,##0"))</f>
        <v>NO — short $1,650</v>
      </c>
      <c r="D33" s="11"/>
    </row>
    <row r="34" customFormat="false" ht="15" hidden="false" customHeight="true" outlineLevel="0" collapsed="false">
      <c r="A34" s="11"/>
      <c r="D34" s="11"/>
    </row>
    <row r="35" customFormat="false" ht="15" hidden="false" customHeight="true" outlineLevel="0" collapsed="false">
      <c r="A35" s="4" t="s">
        <v>157</v>
      </c>
      <c r="B35" s="4"/>
      <c r="C35" s="4"/>
      <c r="D35" s="4"/>
    </row>
    <row r="36" customFormat="false" ht="31.5" hidden="false" customHeight="true" outlineLevel="0" collapsed="false">
      <c r="A36" s="8" t="s">
        <v>158</v>
      </c>
      <c r="B36" s="28" t="n">
        <f aca="false">B28+B10-B25</f>
        <v>-150</v>
      </c>
      <c r="D36" s="9" t="s">
        <v>159</v>
      </c>
    </row>
  </sheetData>
  <mergeCells count="5">
    <mergeCell ref="A1:D1"/>
    <mergeCell ref="A3:D3"/>
    <mergeCell ref="A13:D13"/>
    <mergeCell ref="A27:D27"/>
    <mergeCell ref="A35:D35"/>
  </mergeCells>
  <conditionalFormatting sqref="B3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&amp;C&amp;"Arial,Bold"J Empire — Money Plan</oddHeader>
    <oddFooter>&amp;LJazmin Aguayo&amp;RPage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22"/>
    <col collapsed="false" customWidth="true" hidden="false" outlineLevel="0" max="4" min="4" style="1" width="56"/>
  </cols>
  <sheetData>
    <row r="1" customFormat="false" ht="30" hidden="false" customHeight="true" outlineLevel="0" collapsed="false">
      <c r="A1" s="2" t="s">
        <v>169</v>
      </c>
      <c r="B1" s="2"/>
      <c r="C1" s="2"/>
      <c r="D1" s="2"/>
    </row>
    <row r="2" customFormat="false" ht="15" hidden="false" customHeight="true" outlineLevel="0" collapsed="false">
      <c r="A2" s="11"/>
      <c r="D2" s="11"/>
    </row>
    <row r="3" customFormat="false" ht="15" hidden="false" customHeight="true" outlineLevel="0" collapsed="false">
      <c r="A3" s="36" t="s">
        <v>126</v>
      </c>
      <c r="B3" s="36"/>
      <c r="C3" s="36"/>
      <c r="D3" s="36"/>
    </row>
    <row r="4" customFormat="false" ht="15" hidden="false" customHeight="true" outlineLevel="0" collapsed="false">
      <c r="A4" s="8" t="s">
        <v>161</v>
      </c>
      <c r="B4" s="27" t="n">
        <f aca="false">Assumptions!$B$5*4</f>
        <v>1280</v>
      </c>
      <c r="D4" s="9" t="s">
        <v>128</v>
      </c>
    </row>
    <row r="5" customFormat="false" ht="15" hidden="false" customHeight="true" outlineLevel="0" collapsed="false">
      <c r="A5" s="5" t="s">
        <v>129</v>
      </c>
      <c r="B5" s="37" t="n">
        <f aca="false">Assumptions!$B$6*2</f>
        <v>2200</v>
      </c>
      <c r="C5" s="38"/>
      <c r="D5" s="7" t="s">
        <v>128</v>
      </c>
    </row>
    <row r="6" customFormat="false" ht="15" hidden="false" customHeight="true" outlineLevel="0" collapsed="false">
      <c r="A6" s="8" t="s">
        <v>130</v>
      </c>
      <c r="B6" s="27" t="n">
        <f aca="false">Assumptions!$B$8*2</f>
        <v>500</v>
      </c>
      <c r="D6" s="9" t="s">
        <v>128</v>
      </c>
    </row>
    <row r="7" customFormat="false" ht="15" hidden="false" customHeight="true" outlineLevel="0" collapsed="false">
      <c r="A7" s="5" t="s">
        <v>131</v>
      </c>
      <c r="B7" s="30" t="n">
        <f aca="false">Assumptions!$B$27</f>
        <v>200</v>
      </c>
      <c r="C7" s="38"/>
      <c r="D7" s="7" t="s">
        <v>132</v>
      </c>
    </row>
    <row r="8" customFormat="false" ht="15" hidden="false" customHeight="true" outlineLevel="0" collapsed="false">
      <c r="A8" s="8" t="s">
        <v>133</v>
      </c>
      <c r="B8" s="32" t="n">
        <f aca="false">Assumptions!$B$28</f>
        <v>200</v>
      </c>
      <c r="D8" s="9" t="s">
        <v>132</v>
      </c>
    </row>
    <row r="9" customFormat="false" ht="15" hidden="false" customHeight="true" outlineLevel="0" collapsed="false">
      <c r="A9" s="5" t="s">
        <v>134</v>
      </c>
      <c r="B9" s="37" t="n">
        <f aca="false">Assumptions!$B$29*1</f>
        <v>200</v>
      </c>
      <c r="C9" s="38"/>
      <c r="D9" s="7" t="s">
        <v>132</v>
      </c>
    </row>
    <row r="10" customFormat="false" ht="15" hidden="false" customHeight="true" outlineLevel="0" collapsed="false">
      <c r="A10" s="14" t="s">
        <v>136</v>
      </c>
      <c r="B10" s="39" t="n">
        <f aca="false">SUM(B4:B6)</f>
        <v>3980</v>
      </c>
      <c r="D10" s="11"/>
    </row>
    <row r="11" customFormat="false" ht="15" hidden="false" customHeight="true" outlineLevel="0" collapsed="false">
      <c r="A11" s="14" t="s">
        <v>137</v>
      </c>
      <c r="B11" s="20" t="n">
        <f aca="false">SUM(B7:B9)</f>
        <v>600</v>
      </c>
      <c r="D11" s="11"/>
    </row>
    <row r="12" customFormat="false" ht="15" hidden="false" customHeight="true" outlineLevel="0" collapsed="false">
      <c r="A12" s="11"/>
      <c r="D12" s="11"/>
    </row>
    <row r="13" customFormat="false" ht="15" hidden="false" customHeight="true" outlineLevel="0" collapsed="false">
      <c r="A13" s="40" t="s">
        <v>138</v>
      </c>
      <c r="B13" s="40"/>
      <c r="C13" s="40"/>
      <c r="D13" s="40"/>
    </row>
    <row r="14" customFormat="false" ht="31.5" hidden="false" customHeight="true" outlineLevel="0" collapsed="false">
      <c r="A14" s="8" t="s">
        <v>12</v>
      </c>
      <c r="B14" s="32" t="n">
        <f aca="false">Assumptions!$B$10</f>
        <v>2100</v>
      </c>
      <c r="D14" s="9" t="s">
        <v>139</v>
      </c>
    </row>
    <row r="15" customFormat="false" ht="31.5" hidden="false" customHeight="true" outlineLevel="0" collapsed="false">
      <c r="A15" s="8" t="s">
        <v>140</v>
      </c>
      <c r="B15" s="32" t="n">
        <f aca="false">Assumptions!$B$11</f>
        <v>580</v>
      </c>
      <c r="D15" s="9" t="s">
        <v>141</v>
      </c>
    </row>
    <row r="16" customFormat="false" ht="15" hidden="false" customHeight="true" outlineLevel="0" collapsed="false">
      <c r="A16" s="8" t="s">
        <v>15</v>
      </c>
      <c r="B16" s="32" t="n">
        <f aca="false">Assumptions!$B$12</f>
        <v>300</v>
      </c>
      <c r="D16" s="11"/>
    </row>
    <row r="17" customFormat="false" ht="15" hidden="false" customHeight="true" outlineLevel="0" collapsed="false">
      <c r="A17" s="8" t="s">
        <v>17</v>
      </c>
      <c r="B17" s="32" t="n">
        <f aca="false">Assumptions!$B$13</f>
        <v>240</v>
      </c>
      <c r="D17" s="11"/>
    </row>
    <row r="18" customFormat="false" ht="15" hidden="false" customHeight="true" outlineLevel="0" collapsed="false">
      <c r="A18" s="8" t="s">
        <v>18</v>
      </c>
      <c r="B18" s="32" t="n">
        <f aca="false">Assumptions!$B$14</f>
        <v>200</v>
      </c>
      <c r="D18" s="11"/>
    </row>
    <row r="19" customFormat="false" ht="15" hidden="false" customHeight="true" outlineLevel="0" collapsed="false">
      <c r="A19" s="8" t="s">
        <v>19</v>
      </c>
      <c r="B19" s="32" t="n">
        <f aca="false">Assumptions!$B$15</f>
        <v>100</v>
      </c>
      <c r="D19" s="9" t="s">
        <v>142</v>
      </c>
    </row>
    <row r="20" customFormat="false" ht="15" hidden="false" customHeight="true" outlineLevel="0" collapsed="false">
      <c r="A20" s="8" t="s">
        <v>20</v>
      </c>
      <c r="B20" s="32" t="n">
        <f aca="false">Assumptions!$B$16</f>
        <v>80</v>
      </c>
      <c r="D20" s="11"/>
    </row>
    <row r="21" customFormat="false" ht="15" hidden="false" customHeight="true" outlineLevel="0" collapsed="false">
      <c r="A21" s="8" t="s">
        <v>143</v>
      </c>
      <c r="B21" s="32" t="n">
        <f aca="false">Assumptions!$B$17</f>
        <v>70</v>
      </c>
      <c r="D21" s="11"/>
    </row>
    <row r="22" customFormat="false" ht="15" hidden="false" customHeight="true" outlineLevel="0" collapsed="false">
      <c r="A22" s="8" t="s">
        <v>164</v>
      </c>
      <c r="B22" s="27" t="n">
        <f aca="false">Assumptions!$B$18*4</f>
        <v>400</v>
      </c>
      <c r="D22" s="9" t="s">
        <v>145</v>
      </c>
    </row>
    <row r="23" customFormat="false" ht="15" hidden="false" customHeight="true" outlineLevel="0" collapsed="false">
      <c r="A23" s="14" t="s">
        <v>150</v>
      </c>
      <c r="B23" s="34" t="n">
        <f aca="false">SUM(B14:B22)</f>
        <v>4070</v>
      </c>
      <c r="D23" s="11"/>
    </row>
    <row r="24" customFormat="false" ht="15" hidden="false" customHeight="true" outlineLevel="0" collapsed="false">
      <c r="A24" s="11"/>
      <c r="D24" s="11"/>
    </row>
    <row r="25" customFormat="false" ht="15" hidden="false" customHeight="true" outlineLevel="0" collapsed="false">
      <c r="A25" s="4" t="s">
        <v>151</v>
      </c>
      <c r="B25" s="4"/>
      <c r="C25" s="4"/>
      <c r="D25" s="4"/>
    </row>
    <row r="26" customFormat="false" ht="31.5" hidden="false" customHeight="true" outlineLevel="0" collapsed="false">
      <c r="A26" s="8" t="s">
        <v>64</v>
      </c>
      <c r="B26" s="19" t="n">
        <f aca="false">October!B31</f>
        <v>450</v>
      </c>
      <c r="D26" s="9" t="s">
        <v>152</v>
      </c>
    </row>
    <row r="27" customFormat="false" ht="15" hidden="false" customHeight="true" outlineLevel="0" collapsed="false">
      <c r="A27" s="8" t="s">
        <v>153</v>
      </c>
      <c r="B27" s="28" t="n">
        <f aca="false">B10+B11</f>
        <v>4580</v>
      </c>
      <c r="D27" s="11"/>
    </row>
    <row r="28" customFormat="false" ht="15" hidden="false" customHeight="true" outlineLevel="0" collapsed="false">
      <c r="A28" s="8" t="s">
        <v>154</v>
      </c>
      <c r="B28" s="28" t="n">
        <f aca="false">B23</f>
        <v>4070</v>
      </c>
      <c r="D28" s="11"/>
    </row>
    <row r="29" customFormat="false" ht="31.5" hidden="false" customHeight="true" outlineLevel="0" collapsed="false">
      <c r="A29" s="14" t="s">
        <v>67</v>
      </c>
      <c r="B29" s="20" t="n">
        <f aca="false">B26+B27-B28</f>
        <v>960</v>
      </c>
      <c r="D29" s="9" t="s">
        <v>155</v>
      </c>
    </row>
    <row r="30" customFormat="false" ht="15" hidden="false" customHeight="true" outlineLevel="0" collapsed="false">
      <c r="A30" s="8" t="s">
        <v>68</v>
      </c>
      <c r="B30" s="28" t="n">
        <f aca="false">B29-B26</f>
        <v>510</v>
      </c>
      <c r="D30" s="11"/>
    </row>
    <row r="31" customFormat="false" ht="31.5" hidden="false" customHeight="true" outlineLevel="0" collapsed="false">
      <c r="A31" s="8" t="s">
        <v>156</v>
      </c>
      <c r="B31" s="14" t="str">
        <f aca="false">IF(B29&gt;=Assumptions!$B$10,"YES","NO — short $"&amp;TEXT(Assumptions!$B$10-B29,"#,##0"))</f>
        <v>NO — short $1,140</v>
      </c>
      <c r="D31" s="11"/>
    </row>
    <row r="32" customFormat="false" ht="15" hidden="false" customHeight="true" outlineLevel="0" collapsed="false">
      <c r="A32" s="11"/>
      <c r="D32" s="11"/>
    </row>
    <row r="33" customFormat="false" ht="15" hidden="false" customHeight="true" outlineLevel="0" collapsed="false">
      <c r="A33" s="4" t="s">
        <v>157</v>
      </c>
      <c r="B33" s="4"/>
      <c r="C33" s="4"/>
      <c r="D33" s="4"/>
    </row>
    <row r="34" customFormat="false" ht="31.5" hidden="false" customHeight="true" outlineLevel="0" collapsed="false">
      <c r="A34" s="8" t="s">
        <v>158</v>
      </c>
      <c r="B34" s="28" t="n">
        <f aca="false">B26+B10-B23</f>
        <v>360</v>
      </c>
      <c r="D34" s="9" t="s">
        <v>159</v>
      </c>
    </row>
  </sheetData>
  <mergeCells count="5">
    <mergeCell ref="A1:D1"/>
    <mergeCell ref="A3:D3"/>
    <mergeCell ref="A13:D13"/>
    <mergeCell ref="A25:D25"/>
    <mergeCell ref="A33:D33"/>
  </mergeCells>
  <conditionalFormatting sqref="B29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&amp;C&amp;"Arial,Bold"J Empire — Money Plan</oddHeader>
    <oddFooter>&amp;LJazmin Aguayo&amp;RPage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22"/>
    <col collapsed="false" customWidth="true" hidden="false" outlineLevel="0" max="4" min="4" style="1" width="56"/>
  </cols>
  <sheetData>
    <row r="1" customFormat="false" ht="30" hidden="false" customHeight="true" outlineLevel="0" collapsed="false">
      <c r="A1" s="2" t="s">
        <v>170</v>
      </c>
      <c r="B1" s="2"/>
      <c r="C1" s="2"/>
      <c r="D1" s="2"/>
    </row>
    <row r="2" customFormat="false" ht="15" hidden="false" customHeight="true" outlineLevel="0" collapsed="false">
      <c r="A2" s="11"/>
      <c r="D2" s="11"/>
    </row>
    <row r="3" customFormat="false" ht="15" hidden="false" customHeight="true" outlineLevel="0" collapsed="false">
      <c r="A3" s="36" t="s">
        <v>126</v>
      </c>
      <c r="B3" s="36"/>
      <c r="C3" s="36"/>
      <c r="D3" s="36"/>
    </row>
    <row r="4" customFormat="false" ht="15" hidden="false" customHeight="true" outlineLevel="0" collapsed="false">
      <c r="A4" s="8" t="s">
        <v>127</v>
      </c>
      <c r="B4" s="27" t="n">
        <f aca="false">Assumptions!$B$5*5</f>
        <v>1600</v>
      </c>
      <c r="D4" s="9" t="s">
        <v>128</v>
      </c>
    </row>
    <row r="5" customFormat="false" ht="15" hidden="false" customHeight="true" outlineLevel="0" collapsed="false">
      <c r="A5" s="5" t="s">
        <v>129</v>
      </c>
      <c r="B5" s="37" t="n">
        <f aca="false">Assumptions!$B$6*2</f>
        <v>2200</v>
      </c>
      <c r="C5" s="38"/>
      <c r="D5" s="7" t="s">
        <v>128</v>
      </c>
    </row>
    <row r="6" customFormat="false" ht="15" hidden="false" customHeight="true" outlineLevel="0" collapsed="false">
      <c r="A6" s="8" t="s">
        <v>130</v>
      </c>
      <c r="B6" s="27" t="n">
        <f aca="false">Assumptions!$B$8*2</f>
        <v>500</v>
      </c>
      <c r="D6" s="9" t="s">
        <v>128</v>
      </c>
    </row>
    <row r="7" customFormat="false" ht="15" hidden="false" customHeight="true" outlineLevel="0" collapsed="false">
      <c r="A7" s="5" t="s">
        <v>131</v>
      </c>
      <c r="B7" s="30" t="n">
        <f aca="false">Assumptions!$B$27</f>
        <v>200</v>
      </c>
      <c r="C7" s="38"/>
      <c r="D7" s="7" t="s">
        <v>132</v>
      </c>
    </row>
    <row r="8" customFormat="false" ht="15" hidden="false" customHeight="true" outlineLevel="0" collapsed="false">
      <c r="A8" s="8" t="s">
        <v>133</v>
      </c>
      <c r="B8" s="32" t="n">
        <f aca="false">Assumptions!$B$28</f>
        <v>200</v>
      </c>
      <c r="D8" s="9" t="s">
        <v>132</v>
      </c>
    </row>
    <row r="9" customFormat="false" ht="15" hidden="false" customHeight="true" outlineLevel="0" collapsed="false">
      <c r="A9" s="5" t="s">
        <v>134</v>
      </c>
      <c r="B9" s="37" t="n">
        <f aca="false">Assumptions!$B$29*1</f>
        <v>200</v>
      </c>
      <c r="C9" s="38"/>
      <c r="D9" s="7" t="s">
        <v>132</v>
      </c>
    </row>
    <row r="10" customFormat="false" ht="15" hidden="false" customHeight="true" outlineLevel="0" collapsed="false">
      <c r="A10" s="14" t="s">
        <v>136</v>
      </c>
      <c r="B10" s="39" t="n">
        <f aca="false">SUM(B4:B6)</f>
        <v>4300</v>
      </c>
      <c r="D10" s="11"/>
    </row>
    <row r="11" customFormat="false" ht="15" hidden="false" customHeight="true" outlineLevel="0" collapsed="false">
      <c r="A11" s="14" t="s">
        <v>137</v>
      </c>
      <c r="B11" s="20" t="n">
        <f aca="false">SUM(B7:B9)</f>
        <v>600</v>
      </c>
      <c r="D11" s="11"/>
    </row>
    <row r="12" customFormat="false" ht="15" hidden="false" customHeight="true" outlineLevel="0" collapsed="false">
      <c r="A12" s="11"/>
      <c r="D12" s="11"/>
    </row>
    <row r="13" customFormat="false" ht="15" hidden="false" customHeight="true" outlineLevel="0" collapsed="false">
      <c r="A13" s="40" t="s">
        <v>138</v>
      </c>
      <c r="B13" s="40"/>
      <c r="C13" s="40"/>
      <c r="D13" s="40"/>
    </row>
    <row r="14" customFormat="false" ht="31.5" hidden="false" customHeight="true" outlineLevel="0" collapsed="false">
      <c r="A14" s="8" t="s">
        <v>12</v>
      </c>
      <c r="B14" s="32" t="n">
        <f aca="false">Assumptions!$B$10</f>
        <v>2100</v>
      </c>
      <c r="D14" s="9" t="s">
        <v>139</v>
      </c>
    </row>
    <row r="15" customFormat="false" ht="31.5" hidden="false" customHeight="true" outlineLevel="0" collapsed="false">
      <c r="A15" s="8" t="s">
        <v>140</v>
      </c>
      <c r="B15" s="32" t="n">
        <f aca="false">Assumptions!$B$11</f>
        <v>580</v>
      </c>
      <c r="D15" s="9" t="s">
        <v>141</v>
      </c>
    </row>
    <row r="16" customFormat="false" ht="15" hidden="false" customHeight="true" outlineLevel="0" collapsed="false">
      <c r="A16" s="8" t="s">
        <v>15</v>
      </c>
      <c r="B16" s="32" t="n">
        <f aca="false">Assumptions!$B$12</f>
        <v>300</v>
      </c>
      <c r="D16" s="11"/>
    </row>
    <row r="17" customFormat="false" ht="15" hidden="false" customHeight="true" outlineLevel="0" collapsed="false">
      <c r="A17" s="8" t="s">
        <v>17</v>
      </c>
      <c r="B17" s="32" t="n">
        <f aca="false">Assumptions!$B$13</f>
        <v>240</v>
      </c>
      <c r="D17" s="11"/>
    </row>
    <row r="18" customFormat="false" ht="15" hidden="false" customHeight="true" outlineLevel="0" collapsed="false">
      <c r="A18" s="8" t="s">
        <v>18</v>
      </c>
      <c r="B18" s="32" t="n">
        <f aca="false">Assumptions!$B$14</f>
        <v>200</v>
      </c>
      <c r="D18" s="11"/>
    </row>
    <row r="19" customFormat="false" ht="15" hidden="false" customHeight="true" outlineLevel="0" collapsed="false">
      <c r="A19" s="8" t="s">
        <v>19</v>
      </c>
      <c r="B19" s="32" t="n">
        <f aca="false">Assumptions!$B$15</f>
        <v>100</v>
      </c>
      <c r="D19" s="9" t="s">
        <v>142</v>
      </c>
    </row>
    <row r="20" customFormat="false" ht="15" hidden="false" customHeight="true" outlineLevel="0" collapsed="false">
      <c r="A20" s="8" t="s">
        <v>20</v>
      </c>
      <c r="B20" s="32" t="n">
        <f aca="false">Assumptions!$B$16</f>
        <v>80</v>
      </c>
      <c r="D20" s="11"/>
    </row>
    <row r="21" customFormat="false" ht="15" hidden="false" customHeight="true" outlineLevel="0" collapsed="false">
      <c r="A21" s="8" t="s">
        <v>143</v>
      </c>
      <c r="B21" s="32" t="n">
        <f aca="false">Assumptions!$B$17</f>
        <v>70</v>
      </c>
      <c r="D21" s="11"/>
    </row>
    <row r="22" customFormat="false" ht="15" hidden="false" customHeight="true" outlineLevel="0" collapsed="false">
      <c r="A22" s="8" t="s">
        <v>144</v>
      </c>
      <c r="B22" s="27" t="n">
        <f aca="false">Assumptions!$B$18*5</f>
        <v>500</v>
      </c>
      <c r="D22" s="9" t="s">
        <v>145</v>
      </c>
    </row>
    <row r="23" customFormat="false" ht="15" hidden="false" customHeight="true" outlineLevel="0" collapsed="false">
      <c r="A23" s="8" t="s">
        <v>171</v>
      </c>
      <c r="B23" s="32" t="n">
        <f aca="false">300</f>
        <v>300</v>
      </c>
      <c r="D23" s="9" t="s">
        <v>172</v>
      </c>
    </row>
    <row r="24" customFormat="false" ht="15" hidden="false" customHeight="true" outlineLevel="0" collapsed="false">
      <c r="A24" s="14" t="s">
        <v>150</v>
      </c>
      <c r="B24" s="34" t="n">
        <f aca="false">SUM(B14:B23)</f>
        <v>4470</v>
      </c>
      <c r="D24" s="11"/>
    </row>
    <row r="25" customFormat="false" ht="15" hidden="false" customHeight="true" outlineLevel="0" collapsed="false">
      <c r="A25" s="11"/>
      <c r="D25" s="11"/>
    </row>
    <row r="26" customFormat="false" ht="15" hidden="false" customHeight="true" outlineLevel="0" collapsed="false">
      <c r="A26" s="4" t="s">
        <v>151</v>
      </c>
      <c r="B26" s="4"/>
      <c r="C26" s="4"/>
      <c r="D26" s="4"/>
    </row>
    <row r="27" customFormat="false" ht="31.5" hidden="false" customHeight="true" outlineLevel="0" collapsed="false">
      <c r="A27" s="8" t="s">
        <v>64</v>
      </c>
      <c r="B27" s="19" t="n">
        <f aca="false">November!B29</f>
        <v>960</v>
      </c>
      <c r="D27" s="9" t="s">
        <v>152</v>
      </c>
    </row>
    <row r="28" customFormat="false" ht="15" hidden="false" customHeight="true" outlineLevel="0" collapsed="false">
      <c r="A28" s="8" t="s">
        <v>153</v>
      </c>
      <c r="B28" s="28" t="n">
        <f aca="false">B10+B11</f>
        <v>4900</v>
      </c>
      <c r="D28" s="11"/>
    </row>
    <row r="29" customFormat="false" ht="15" hidden="false" customHeight="true" outlineLevel="0" collapsed="false">
      <c r="A29" s="8" t="s">
        <v>154</v>
      </c>
      <c r="B29" s="28" t="n">
        <f aca="false">B24</f>
        <v>4470</v>
      </c>
      <c r="D29" s="11"/>
    </row>
    <row r="30" customFormat="false" ht="31.5" hidden="false" customHeight="true" outlineLevel="0" collapsed="false">
      <c r="A30" s="14" t="s">
        <v>67</v>
      </c>
      <c r="B30" s="20" t="n">
        <f aca="false">B27+B28-B29</f>
        <v>1390</v>
      </c>
      <c r="D30" s="9" t="s">
        <v>155</v>
      </c>
    </row>
    <row r="31" customFormat="false" ht="15" hidden="false" customHeight="true" outlineLevel="0" collapsed="false">
      <c r="A31" s="8" t="s">
        <v>68</v>
      </c>
      <c r="B31" s="28" t="n">
        <f aca="false">B30-B27</f>
        <v>430</v>
      </c>
      <c r="D31" s="11"/>
    </row>
    <row r="32" customFormat="false" ht="31.5" hidden="false" customHeight="true" outlineLevel="0" collapsed="false">
      <c r="A32" s="8" t="s">
        <v>156</v>
      </c>
      <c r="B32" s="14" t="str">
        <f aca="false">IF(B30&gt;=Assumptions!$B$10,"YES","NO — short $"&amp;TEXT(Assumptions!$B$10-B30,"#,##0"))</f>
        <v>NO — short $710</v>
      </c>
      <c r="D32" s="11"/>
    </row>
    <row r="33" customFormat="false" ht="15" hidden="false" customHeight="true" outlineLevel="0" collapsed="false">
      <c r="A33" s="11"/>
      <c r="D33" s="11"/>
    </row>
    <row r="34" customFormat="false" ht="15" hidden="false" customHeight="true" outlineLevel="0" collapsed="false">
      <c r="A34" s="4" t="s">
        <v>157</v>
      </c>
      <c r="B34" s="4"/>
      <c r="C34" s="4"/>
      <c r="D34" s="4"/>
    </row>
    <row r="35" customFormat="false" ht="31.5" hidden="false" customHeight="true" outlineLevel="0" collapsed="false">
      <c r="A35" s="8" t="s">
        <v>158</v>
      </c>
      <c r="B35" s="28" t="n">
        <f aca="false">B27+B10-B24</f>
        <v>790</v>
      </c>
      <c r="D35" s="9" t="s">
        <v>159</v>
      </c>
    </row>
  </sheetData>
  <mergeCells count="5">
    <mergeCell ref="A1:D1"/>
    <mergeCell ref="A3:D3"/>
    <mergeCell ref="A13:D13"/>
    <mergeCell ref="A26:D26"/>
    <mergeCell ref="A34:D34"/>
  </mergeCells>
  <conditionalFormatting sqref="B30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&amp;C&amp;"Arial,Bold"J Empire — Money Plan</oddHeader>
    <oddFooter>&amp;LJazmin Aguayo&amp;RPage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2026-08-29T11:23:06Z</dcterms:created>
  <dc:creator>openpyxl</dc:creator>
  <dc:description/>
  <dc:language>en-US</dc:language>
  <cp:lastModifiedBy/>
  <dcterms:modified xsi:type="dcterms:W3CDTF">2026-08-29T11:37:56Z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